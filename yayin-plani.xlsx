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Özet" sheetId="2" state="visible" r:id="rId4"/>
  </sheets>
  <definedNames>
    <definedName function="false" hidden="true" localSheetId="0" name="_xlnm._FilterDatabase" vbProcedure="false">Plan!$A$4:$L$86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<sst xmlns="http://schemas.openxmlformats.org/spreadsheetml/2006/main" count="713" uniqueCount="157">
  <si>
    <t xml:space="preserve">YAYIN PLANI · 11-18 Ekim 2026</t>
  </si>
  <si>
    <t xml:space="preserve">Durum sütununu açılır listeden işaretle; Özet sayfasındaki bütün sayımlar kendiliğinden güncellenir. Diğer sütunlar kuyruktan geliyor (sira.py), elle değiştirme.</t>
  </si>
  <si>
    <t xml:space="preserve">Tarih</t>
  </si>
  <si>
    <t xml:space="preserve">Gün</t>
  </si>
  <si>
    <t xml:space="preserve">Saat</t>
  </si>
  <si>
    <t xml:space="preserve">Tür</t>
  </si>
  <si>
    <t xml:space="preserve">Kategori</t>
  </si>
  <si>
    <t xml:space="preserve">Başlık</t>
  </si>
  <si>
    <t xml:space="preserve">Klasör</t>
  </si>
  <si>
    <t xml:space="preserve">Kare</t>
  </si>
  <si>
    <t xml:space="preserve">Platform</t>
  </si>
  <si>
    <t xml:space="preserve">Metin (karakter)</t>
  </si>
  <si>
    <t xml:space="preserve">Durum</t>
  </si>
  <si>
    <t xml:space="preserve">Not</t>
  </si>
  <si>
    <t xml:space="preserve">Pazar</t>
  </si>
  <si>
    <t xml:space="preserve">11:40</t>
  </si>
  <si>
    <t xml:space="preserve">GÖNDERİ</t>
  </si>
  <si>
    <t xml:space="preserve">3D Baskı &amp; Üretim</t>
  </si>
  <si>
    <t xml:space="preserve">Sunlu PLA Hangi Seri Ne Yapar</t>
  </si>
  <si>
    <t xml:space="preserve">2026-10-11-sunlu-pla-kartelasi</t>
  </si>
  <si>
    <t xml:space="preserve">Instagram</t>
  </si>
  <si>
    <t xml:space="preserve">Bekliyor</t>
  </si>
  <si>
    <t xml:space="preserve">12:20</t>
  </si>
  <si>
    <t xml:space="preserve">HİKAYE</t>
  </si>
  <si>
    <t xml:space="preserve">Elektronik &amp; IoT</t>
  </si>
  <si>
    <t xml:space="preserve">Jetson Orin Nano Super</t>
  </si>
  <si>
    <t xml:space="preserve">2026-10-11-jetson-orin-nano</t>
  </si>
  <si>
    <t xml:space="preserve">13:00</t>
  </si>
  <si>
    <t xml:space="preserve">17:10</t>
  </si>
  <si>
    <t xml:space="preserve">Ürün &amp; Mağaza</t>
  </si>
  <si>
    <t xml:space="preserve">Bambu Lab R1 Lazer</t>
  </si>
  <si>
    <t xml:space="preserve">2026-10-10-bambu-r1-tanitim</t>
  </si>
  <si>
    <t xml:space="preserve">17:50</t>
  </si>
  <si>
    <t xml:space="preserve">19:50</t>
  </si>
  <si>
    <t xml:space="preserve">REELS</t>
  </si>
  <si>
    <t xml:space="preserve">—</t>
  </si>
  <si>
    <t xml:space="preserve">Instagram, YouTube, TikTok</t>
  </si>
  <si>
    <t xml:space="preserve">21:00</t>
  </si>
  <si>
    <t xml:space="preserve">Proje &amp; Atölye</t>
  </si>
  <si>
    <t xml:space="preserve">Müşteriye Fiyat Vermek 6 Kalem</t>
  </si>
  <si>
    <t xml:space="preserve">2026-10-11-musteriye-fiyat</t>
  </si>
  <si>
    <t xml:space="preserve">21:40</t>
  </si>
  <si>
    <t xml:space="preserve">Pazartesi</t>
  </si>
  <si>
    <t xml:space="preserve">08:12</t>
  </si>
  <si>
    <t xml:space="preserve">Yapışma Yüzeyleri PEI, Garolit, Cam</t>
  </si>
  <si>
    <t xml:space="preserve">2026-10-12-yapisma-yuzeyleri</t>
  </si>
  <si>
    <t xml:space="preserve">08:52</t>
  </si>
  <si>
    <t xml:space="preserve">12:38</t>
  </si>
  <si>
    <t xml:space="preserve">Deep Sleep 10 µA Kartta Çıkmıyor</t>
  </si>
  <si>
    <t xml:space="preserve">2026-10-12-deep-sleep-akim</t>
  </si>
  <si>
    <t xml:space="preserve">13:18</t>
  </si>
  <si>
    <t xml:space="preserve">13:30</t>
  </si>
  <si>
    <t xml:space="preserve">KAMPANYA</t>
  </si>
  <si>
    <t xml:space="preserve">Dört Makara Tek Kazanan</t>
  </si>
  <si>
    <t xml:space="preserve">2026-10-12-cekilis-duyuru</t>
  </si>
  <si>
    <t xml:space="preserve">14:10</t>
  </si>
  <si>
    <t xml:space="preserve">17:24</t>
  </si>
  <si>
    <t xml:space="preserve">Sunlu FilaDryer S2 · S4 · E2</t>
  </si>
  <si>
    <t xml:space="preserve">2026-10-14-sunlu-filadryer</t>
  </si>
  <si>
    <t xml:space="preserve">18:04</t>
  </si>
  <si>
    <t xml:space="preserve">19:40</t>
  </si>
  <si>
    <t xml:space="preserve">Ürün Fotoğrafı 1 Işık</t>
  </si>
  <si>
    <t xml:space="preserve">2026-10-12-urun-fotografi</t>
  </si>
  <si>
    <t xml:space="preserve">20:20</t>
  </si>
  <si>
    <t xml:space="preserve">21:10</t>
  </si>
  <si>
    <t xml:space="preserve">Salı</t>
  </si>
  <si>
    <t xml:space="preserve">FİLAMENT AYAR REHBERİ</t>
  </si>
  <si>
    <t xml:space="preserve">2026-10-21-filament-rehberi</t>
  </si>
  <si>
    <t xml:space="preserve">Phaetus Conch M4 Endcoat</t>
  </si>
  <si>
    <t xml:space="preserve">2026-10-13-phaetus-conch-nozul</t>
  </si>
  <si>
    <t xml:space="preserve">Sunlu AMS Heater</t>
  </si>
  <si>
    <t xml:space="preserve">2026-10-15-sunlu-ams-heater</t>
  </si>
  <si>
    <t xml:space="preserve">19:10</t>
  </si>
  <si>
    <t xml:space="preserve">19:36</t>
  </si>
  <si>
    <t xml:space="preserve">20:42</t>
  </si>
  <si>
    <t xml:space="preserve">Prototip Çalıştı Ürün Tutmuyor</t>
  </si>
  <si>
    <t xml:space="preserve">2026-10-13-olcu-dogrulama</t>
  </si>
  <si>
    <t xml:space="preserve">21:22</t>
  </si>
  <si>
    <t xml:space="preserve">Çarşamba</t>
  </si>
  <si>
    <t xml:space="preserve">0,4 Her İşe Yetiyor Mu</t>
  </si>
  <si>
    <t xml:space="preserve">2026-10-13-nozzle-capi</t>
  </si>
  <si>
    <t xml:space="preserve">BMS Neyi Koruyor</t>
  </si>
  <si>
    <t xml:space="preserve">2026-10-14-lipo-bms</t>
  </si>
  <si>
    <t xml:space="preserve">Phaetus × Snapmaker Liber Hotend</t>
  </si>
  <si>
    <t xml:space="preserve">2026-10-16-phaetus-liber-u1</t>
  </si>
  <si>
    <t xml:space="preserve">Siparişi Kabul Etmeden Önce</t>
  </si>
  <si>
    <t xml:space="preserve">2026-10-14-siparis-sorulari</t>
  </si>
  <si>
    <t xml:space="preserve">Perşembe</t>
  </si>
  <si>
    <t xml:space="preserve">Hangi Kurutucu Sana Uygun?</t>
  </si>
  <si>
    <t xml:space="preserve">2026-10-18-filament-kurutucu-pano</t>
  </si>
  <si>
    <t xml:space="preserve">Ayrık H Köprüsü Mü, DRV8833 Mü</t>
  </si>
  <si>
    <t xml:space="preserve">2026-10-15-h-koprusu</t>
  </si>
  <si>
    <t xml:space="preserve">Polymaker HT-PLA Serisi</t>
  </si>
  <si>
    <t xml:space="preserve">2026-10-17-polymaker-ht-pla</t>
  </si>
  <si>
    <t xml:space="preserve">18:40</t>
  </si>
  <si>
    <t xml:space="preserve">Son Gün · Dört Makara Tek Kişiye 23.59</t>
  </si>
  <si>
    <t xml:space="preserve">2026-10-15-cekilis-son-gun</t>
  </si>
  <si>
    <t xml:space="preserve">19:20</t>
  </si>
  <si>
    <t xml:space="preserve">Var Olan Parçayı Tarayıp Kopyalamak</t>
  </si>
  <si>
    <t xml:space="preserve">2026-10-15-3d-tarayici</t>
  </si>
  <si>
    <t xml:space="preserve">Cuma</t>
  </si>
  <si>
    <t xml:space="preserve">H Serisinde Fark Ne?</t>
  </si>
  <si>
    <t xml:space="preserve">2026-10-18-bambu-h-serisi-pano</t>
  </si>
  <si>
    <t xml:space="preserve">Projeye Hangi Kart Girer?</t>
  </si>
  <si>
    <t xml:space="preserve">2026-10-16-gelistirme-karti-pano</t>
  </si>
  <si>
    <t xml:space="preserve">16:40</t>
  </si>
  <si>
    <t xml:space="preserve">Atık Üretmeden Renk Değiştirmek</t>
  </si>
  <si>
    <t xml:space="preserve">2026-10-21-u1-k3-pano</t>
  </si>
  <si>
    <t xml:space="preserve">17:20</t>
  </si>
  <si>
    <t xml:space="preserve">18:10</t>
  </si>
  <si>
    <t xml:space="preserve">Hangi Pixhawk Yeterli?</t>
  </si>
  <si>
    <t xml:space="preserve">2026-10-20-pixhawk-pano</t>
  </si>
  <si>
    <t xml:space="preserve">18:50</t>
  </si>
  <si>
    <t xml:space="preserve">20:30</t>
  </si>
  <si>
    <t xml:space="preserve">Cumartesi</t>
  </si>
  <si>
    <t xml:space="preserve">11:10</t>
  </si>
  <si>
    <t xml:space="preserve">A Serisinde Hangisi?</t>
  </si>
  <si>
    <t xml:space="preserve">2026-10-19-bambu-a-serisi-pano</t>
  </si>
  <si>
    <t xml:space="preserve">11:50</t>
  </si>
  <si>
    <t xml:space="preserve">Hangi ESP32 Senin İşine?</t>
  </si>
  <si>
    <t xml:space="preserve">2026-10-17-esp32-ailesi-pano</t>
  </si>
  <si>
    <t xml:space="preserve">16:50</t>
  </si>
  <si>
    <t xml:space="preserve">SparkX İ7 Mi İ8 Mi?</t>
  </si>
  <si>
    <t xml:space="preserve">2026-10-20-sparkx-i7-i8-pano</t>
  </si>
  <si>
    <t xml:space="preserve">17:30</t>
  </si>
  <si>
    <t xml:space="preserve">Hangi Sunlu Filament?</t>
  </si>
  <si>
    <t xml:space="preserve">2026-10-16-sunlu-filament-pano</t>
  </si>
  <si>
    <t xml:space="preserve">20:10</t>
  </si>
  <si>
    <t xml:space="preserve">Hangi Pı Kamerası?</t>
  </si>
  <si>
    <t xml:space="preserve">2026-10-21-pi-kamera-pano</t>
  </si>
  <si>
    <t xml:space="preserve">20:50</t>
  </si>
  <si>
    <t xml:space="preserve">Pirinç Uç Ne Zaman Biter</t>
  </si>
  <si>
    <t xml:space="preserve">2026-10-18-sert-nozul</t>
  </si>
  <si>
    <t xml:space="preserve">Kondansatör Sağlam Görünüp Bozuk</t>
  </si>
  <si>
    <t xml:space="preserve">2026-10-18-kondansator-esr</t>
  </si>
  <si>
    <t xml:space="preserve">Ender-3 V4 Combo</t>
  </si>
  <si>
    <t xml:space="preserve">2026-10-18-ender-3-v4-combo</t>
  </si>
  <si>
    <t xml:space="preserve">Bozuk Baskıyı Tek Başına Çözme</t>
  </si>
  <si>
    <t xml:space="preserve">2026-10-18-toplulukta-ariza</t>
  </si>
  <si>
    <t xml:space="preserve">Optokuplör Ne Zaman Şart</t>
  </si>
  <si>
    <t xml:space="preserve">2026-10-13-optokuplor</t>
  </si>
  <si>
    <t xml:space="preserve">ÖZET</t>
  </si>
  <si>
    <t xml:space="preserve">Buradaki her sayı Plan sayfasından formülle geliyor; elle hesap yok.</t>
  </si>
  <si>
    <t xml:space="preserve">Türe göre</t>
  </si>
  <si>
    <t xml:space="preserve">Adet</t>
  </si>
  <si>
    <t xml:space="preserve">Yayınlandı</t>
  </si>
  <si>
    <t xml:space="preserve">Kalan</t>
  </si>
  <si>
    <t xml:space="preserve">Tamamlanma</t>
  </si>
  <si>
    <t xml:space="preserve">TOPLAM</t>
  </si>
  <si>
    <t xml:space="preserve">Güne göre</t>
  </si>
  <si>
    <t xml:space="preserve">Gönderi</t>
  </si>
  <si>
    <t xml:space="preserve">Hikaye</t>
  </si>
  <si>
    <t xml:space="preserve">Reels</t>
  </si>
  <si>
    <t xml:space="preserve">Kampanya</t>
  </si>
  <si>
    <t xml:space="preserve">Toplam</t>
  </si>
  <si>
    <t xml:space="preserve">Kategoriye göre (gönderi slotları)</t>
  </si>
  <si>
    <t xml:space="preserve">Ortalama metin (karakter)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</si>
</sst>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#,##0"/>
    <numFmt numFmtId="167" formatCode="General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CE4E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CE4EC"/>
        <bgColor rgb="FFF2F2F2"/>
      </patternFill>
    </fill>
    <fill>
      <patternFill patternType="solid">
        <fgColor rgb="FFFFE0B2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CE4EC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34"/>
    <col collapsed="false" customWidth="true" hidden="false" outlineLevel="0" max="7" min="7" style="0" width="32"/>
    <col collapsed="false" customWidth="true" hidden="false" outlineLevel="0" max="8" min="8" style="0" width="7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26"/>
  </cols>
  <sheetData>
    <row r="1" customFormat="false" ht="17.35" hidden="false" customHeight="fals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n">
        <v>46306</v>
      </c>
      <c r="B5" s="5" t="s">
        <v>14</v>
      </c>
      <c r="C5" s="6" t="s">
        <v>15</v>
      </c>
      <c r="D5" s="7" t="s">
        <v>16</v>
      </c>
      <c r="E5" s="5" t="s">
        <v>17</v>
      </c>
      <c r="F5" s="8" t="s">
        <v>18</v>
      </c>
      <c r="G5" s="5" t="s">
        <v>19</v>
      </c>
      <c r="H5" s="9" t="n">
        <v>6</v>
      </c>
      <c r="I5" s="8" t="s">
        <v>20</v>
      </c>
      <c r="J5" s="9" t="n">
        <v>1317</v>
      </c>
      <c r="K5" s="10" t="s">
        <v>21</v>
      </c>
      <c r="L5" s="5"/>
    </row>
    <row r="6" customFormat="false" ht="15" hidden="false" customHeight="false" outlineLevel="0" collapsed="false">
      <c r="A6" s="4" t="n">
        <v>46306</v>
      </c>
      <c r="B6" s="11" t="s">
        <v>14</v>
      </c>
      <c r="C6" s="10" t="s">
        <v>22</v>
      </c>
      <c r="D6" s="12" t="s">
        <v>23</v>
      </c>
      <c r="E6" s="11" t="s">
        <v>17</v>
      </c>
      <c r="F6" s="13" t="s">
        <v>18</v>
      </c>
      <c r="G6" s="11" t="s">
        <v>19</v>
      </c>
      <c r="H6" s="9" t="n">
        <v>1</v>
      </c>
      <c r="I6" s="13" t="s">
        <v>20</v>
      </c>
      <c r="J6" s="9" t="n">
        <v>0</v>
      </c>
      <c r="K6" s="10" t="s">
        <v>21</v>
      </c>
      <c r="L6" s="11"/>
    </row>
    <row r="7" customFormat="false" ht="15" hidden="false" customHeight="false" outlineLevel="0" collapsed="false">
      <c r="A7" s="4" t="n">
        <v>46306</v>
      </c>
      <c r="B7" s="5" t="s">
        <v>14</v>
      </c>
      <c r="C7" s="6" t="s">
        <v>22</v>
      </c>
      <c r="D7" s="7" t="s">
        <v>16</v>
      </c>
      <c r="E7" s="5" t="s">
        <v>24</v>
      </c>
      <c r="F7" s="8" t="s">
        <v>25</v>
      </c>
      <c r="G7" s="5" t="s">
        <v>26</v>
      </c>
      <c r="H7" s="9" t="n">
        <v>4</v>
      </c>
      <c r="I7" s="8" t="s">
        <v>20</v>
      </c>
      <c r="J7" s="9" t="n">
        <v>992</v>
      </c>
      <c r="K7" s="10" t="s">
        <v>21</v>
      </c>
      <c r="L7" s="5"/>
    </row>
    <row r="8" customFormat="false" ht="15" hidden="false" customHeight="false" outlineLevel="0" collapsed="false">
      <c r="A8" s="4" t="n">
        <v>46306</v>
      </c>
      <c r="B8" s="11" t="s">
        <v>14</v>
      </c>
      <c r="C8" s="10" t="s">
        <v>27</v>
      </c>
      <c r="D8" s="12" t="s">
        <v>23</v>
      </c>
      <c r="E8" s="11" t="s">
        <v>24</v>
      </c>
      <c r="F8" s="13" t="s">
        <v>25</v>
      </c>
      <c r="G8" s="11" t="s">
        <v>26</v>
      </c>
      <c r="H8" s="9" t="n">
        <v>1</v>
      </c>
      <c r="I8" s="13" t="s">
        <v>20</v>
      </c>
      <c r="J8" s="9" t="n">
        <v>0</v>
      </c>
      <c r="K8" s="10" t="s">
        <v>21</v>
      </c>
      <c r="L8" s="11"/>
    </row>
    <row r="9" customFormat="false" ht="15" hidden="false" customHeight="false" outlineLevel="0" collapsed="false">
      <c r="A9" s="4" t="n">
        <v>46306</v>
      </c>
      <c r="B9" s="5" t="s">
        <v>14</v>
      </c>
      <c r="C9" s="6" t="s">
        <v>28</v>
      </c>
      <c r="D9" s="7" t="s">
        <v>16</v>
      </c>
      <c r="E9" s="5" t="s">
        <v>29</v>
      </c>
      <c r="F9" s="8" t="s">
        <v>30</v>
      </c>
      <c r="G9" s="5" t="s">
        <v>31</v>
      </c>
      <c r="H9" s="9" t="n">
        <v>5</v>
      </c>
      <c r="I9" s="8" t="s">
        <v>20</v>
      </c>
      <c r="J9" s="9" t="n">
        <v>1463</v>
      </c>
      <c r="K9" s="10" t="s">
        <v>21</v>
      </c>
      <c r="L9" s="5"/>
    </row>
    <row r="10" customFormat="false" ht="15" hidden="false" customHeight="false" outlineLevel="0" collapsed="false">
      <c r="A10" s="4" t="n">
        <v>46306</v>
      </c>
      <c r="B10" s="11" t="s">
        <v>14</v>
      </c>
      <c r="C10" s="10" t="s">
        <v>32</v>
      </c>
      <c r="D10" s="12" t="s">
        <v>23</v>
      </c>
      <c r="E10" s="11" t="s">
        <v>29</v>
      </c>
      <c r="F10" s="13" t="s">
        <v>30</v>
      </c>
      <c r="G10" s="11" t="s">
        <v>31</v>
      </c>
      <c r="H10" s="9" t="n">
        <v>1</v>
      </c>
      <c r="I10" s="13" t="s">
        <v>20</v>
      </c>
      <c r="J10" s="9" t="n">
        <v>0</v>
      </c>
      <c r="K10" s="10" t="s">
        <v>21</v>
      </c>
      <c r="L10" s="11"/>
    </row>
    <row r="11" customFormat="false" ht="15" hidden="false" customHeight="false" outlineLevel="0" collapsed="false">
      <c r="A11" s="4" t="n">
        <v>46306</v>
      </c>
      <c r="B11" s="5" t="s">
        <v>14</v>
      </c>
      <c r="C11" s="6" t="s">
        <v>33</v>
      </c>
      <c r="D11" s="14" t="s">
        <v>34</v>
      </c>
      <c r="E11" s="5" t="s">
        <v>35</v>
      </c>
      <c r="F11" s="8" t="s">
        <v>30</v>
      </c>
      <c r="G11" s="5" t="s">
        <v>31</v>
      </c>
      <c r="H11" s="9" t="n">
        <v>1</v>
      </c>
      <c r="I11" s="8" t="s">
        <v>36</v>
      </c>
      <c r="J11" s="9" t="n">
        <v>1463</v>
      </c>
      <c r="K11" s="10" t="s">
        <v>21</v>
      </c>
      <c r="L11" s="5"/>
    </row>
    <row r="12" customFormat="false" ht="15" hidden="false" customHeight="false" outlineLevel="0" collapsed="false">
      <c r="A12" s="4" t="n">
        <v>46306</v>
      </c>
      <c r="B12" s="11" t="s">
        <v>14</v>
      </c>
      <c r="C12" s="10" t="s">
        <v>37</v>
      </c>
      <c r="D12" s="7" t="s">
        <v>16</v>
      </c>
      <c r="E12" s="11" t="s">
        <v>38</v>
      </c>
      <c r="F12" s="13" t="s">
        <v>39</v>
      </c>
      <c r="G12" s="11" t="s">
        <v>40</v>
      </c>
      <c r="H12" s="9" t="n">
        <v>4</v>
      </c>
      <c r="I12" s="13" t="s">
        <v>20</v>
      </c>
      <c r="J12" s="9" t="n">
        <v>945</v>
      </c>
      <c r="K12" s="10" t="s">
        <v>21</v>
      </c>
      <c r="L12" s="11"/>
    </row>
    <row r="13" customFormat="false" ht="15" hidden="false" customHeight="false" outlineLevel="0" collapsed="false">
      <c r="A13" s="4" t="n">
        <v>46306</v>
      </c>
      <c r="B13" s="5" t="s">
        <v>14</v>
      </c>
      <c r="C13" s="6" t="s">
        <v>41</v>
      </c>
      <c r="D13" s="12" t="s">
        <v>23</v>
      </c>
      <c r="E13" s="5" t="s">
        <v>38</v>
      </c>
      <c r="F13" s="8" t="s">
        <v>39</v>
      </c>
      <c r="G13" s="5" t="s">
        <v>40</v>
      </c>
      <c r="H13" s="9" t="n">
        <v>1</v>
      </c>
      <c r="I13" s="8" t="s">
        <v>20</v>
      </c>
      <c r="J13" s="9" t="n">
        <v>0</v>
      </c>
      <c r="K13" s="10" t="s">
        <v>21</v>
      </c>
      <c r="L13" s="5"/>
    </row>
    <row r="14" customFormat="false" ht="15" hidden="false" customHeight="false" outlineLevel="0" collapsed="false">
      <c r="A14" s="4" t="n">
        <v>46307</v>
      </c>
      <c r="B14" s="11" t="s">
        <v>42</v>
      </c>
      <c r="C14" s="10" t="s">
        <v>43</v>
      </c>
      <c r="D14" s="7" t="s">
        <v>16</v>
      </c>
      <c r="E14" s="11" t="s">
        <v>17</v>
      </c>
      <c r="F14" s="13" t="s">
        <v>44</v>
      </c>
      <c r="G14" s="11" t="s">
        <v>45</v>
      </c>
      <c r="H14" s="9" t="n">
        <v>5</v>
      </c>
      <c r="I14" s="13" t="s">
        <v>20</v>
      </c>
      <c r="J14" s="9" t="n">
        <v>948</v>
      </c>
      <c r="K14" s="10" t="s">
        <v>21</v>
      </c>
      <c r="L14" s="11"/>
    </row>
    <row r="15" customFormat="false" ht="15" hidden="false" customHeight="false" outlineLevel="0" collapsed="false">
      <c r="A15" s="4" t="n">
        <v>46307</v>
      </c>
      <c r="B15" s="5" t="s">
        <v>42</v>
      </c>
      <c r="C15" s="6" t="s">
        <v>46</v>
      </c>
      <c r="D15" s="12" t="s">
        <v>23</v>
      </c>
      <c r="E15" s="5" t="s">
        <v>17</v>
      </c>
      <c r="F15" s="8" t="s">
        <v>44</v>
      </c>
      <c r="G15" s="5" t="s">
        <v>45</v>
      </c>
      <c r="H15" s="9" t="n">
        <v>1</v>
      </c>
      <c r="I15" s="8" t="s">
        <v>20</v>
      </c>
      <c r="J15" s="9" t="n">
        <v>0</v>
      </c>
      <c r="K15" s="10" t="s">
        <v>21</v>
      </c>
      <c r="L15" s="5"/>
    </row>
    <row r="16" customFormat="false" ht="15" hidden="false" customHeight="false" outlineLevel="0" collapsed="false">
      <c r="A16" s="4" t="n">
        <v>46307</v>
      </c>
      <c r="B16" s="11" t="s">
        <v>42</v>
      </c>
      <c r="C16" s="10" t="s">
        <v>47</v>
      </c>
      <c r="D16" s="7" t="s">
        <v>16</v>
      </c>
      <c r="E16" s="11" t="s">
        <v>24</v>
      </c>
      <c r="F16" s="13" t="s">
        <v>48</v>
      </c>
      <c r="G16" s="11" t="s">
        <v>49</v>
      </c>
      <c r="H16" s="9" t="n">
        <v>4</v>
      </c>
      <c r="I16" s="13" t="s">
        <v>20</v>
      </c>
      <c r="J16" s="9" t="n">
        <v>948</v>
      </c>
      <c r="K16" s="10" t="s">
        <v>21</v>
      </c>
      <c r="L16" s="11"/>
    </row>
    <row r="17" customFormat="false" ht="15" hidden="false" customHeight="false" outlineLevel="0" collapsed="false">
      <c r="A17" s="4" t="n">
        <v>46307</v>
      </c>
      <c r="B17" s="5" t="s">
        <v>42</v>
      </c>
      <c r="C17" s="6" t="s">
        <v>50</v>
      </c>
      <c r="D17" s="12" t="s">
        <v>23</v>
      </c>
      <c r="E17" s="5" t="s">
        <v>24</v>
      </c>
      <c r="F17" s="8" t="s">
        <v>48</v>
      </c>
      <c r="G17" s="5" t="s">
        <v>49</v>
      </c>
      <c r="H17" s="9" t="n">
        <v>1</v>
      </c>
      <c r="I17" s="8" t="s">
        <v>20</v>
      </c>
      <c r="J17" s="9" t="n">
        <v>0</v>
      </c>
      <c r="K17" s="10" t="s">
        <v>21</v>
      </c>
      <c r="L17" s="5"/>
    </row>
    <row r="18" customFormat="false" ht="15" hidden="false" customHeight="false" outlineLevel="0" collapsed="false">
      <c r="A18" s="4" t="n">
        <v>46307</v>
      </c>
      <c r="B18" s="11" t="s">
        <v>42</v>
      </c>
      <c r="C18" s="10" t="s">
        <v>51</v>
      </c>
      <c r="D18" s="15" t="s">
        <v>52</v>
      </c>
      <c r="E18" s="11" t="s">
        <v>35</v>
      </c>
      <c r="F18" s="13" t="s">
        <v>53</v>
      </c>
      <c r="G18" s="11" t="s">
        <v>54</v>
      </c>
      <c r="H18" s="9" t="n">
        <v>5</v>
      </c>
      <c r="I18" s="13" t="s">
        <v>20</v>
      </c>
      <c r="J18" s="9" t="n">
        <v>1325</v>
      </c>
      <c r="K18" s="10" t="s">
        <v>21</v>
      </c>
      <c r="L18" s="11"/>
    </row>
    <row r="19" customFormat="false" ht="15" hidden="false" customHeight="false" outlineLevel="0" collapsed="false">
      <c r="A19" s="4" t="n">
        <v>46307</v>
      </c>
      <c r="B19" s="5" t="s">
        <v>42</v>
      </c>
      <c r="C19" s="6" t="s">
        <v>55</v>
      </c>
      <c r="D19" s="12" t="s">
        <v>23</v>
      </c>
      <c r="E19" s="5" t="s">
        <v>35</v>
      </c>
      <c r="F19" s="8" t="s">
        <v>53</v>
      </c>
      <c r="G19" s="5" t="s">
        <v>54</v>
      </c>
      <c r="H19" s="9" t="n">
        <v>1</v>
      </c>
      <c r="I19" s="8" t="s">
        <v>20</v>
      </c>
      <c r="J19" s="9" t="n">
        <v>0</v>
      </c>
      <c r="K19" s="10" t="s">
        <v>21</v>
      </c>
      <c r="L19" s="5"/>
    </row>
    <row r="20" customFormat="false" ht="15" hidden="false" customHeight="false" outlineLevel="0" collapsed="false">
      <c r="A20" s="4" t="n">
        <v>46307</v>
      </c>
      <c r="B20" s="11" t="s">
        <v>42</v>
      </c>
      <c r="C20" s="10" t="s">
        <v>56</v>
      </c>
      <c r="D20" s="7" t="s">
        <v>16</v>
      </c>
      <c r="E20" s="11" t="s">
        <v>29</v>
      </c>
      <c r="F20" s="13" t="s">
        <v>57</v>
      </c>
      <c r="G20" s="11" t="s">
        <v>58</v>
      </c>
      <c r="H20" s="9" t="n">
        <v>5</v>
      </c>
      <c r="I20" s="13" t="s">
        <v>20</v>
      </c>
      <c r="J20" s="9" t="n">
        <v>1543</v>
      </c>
      <c r="K20" s="10" t="s">
        <v>21</v>
      </c>
      <c r="L20" s="11"/>
    </row>
    <row r="21" customFormat="false" ht="15" hidden="false" customHeight="false" outlineLevel="0" collapsed="false">
      <c r="A21" s="4" t="n">
        <v>46307</v>
      </c>
      <c r="B21" s="5" t="s">
        <v>42</v>
      </c>
      <c r="C21" s="6" t="s">
        <v>59</v>
      </c>
      <c r="D21" s="12" t="s">
        <v>23</v>
      </c>
      <c r="E21" s="5" t="s">
        <v>29</v>
      </c>
      <c r="F21" s="8" t="s">
        <v>57</v>
      </c>
      <c r="G21" s="5" t="s">
        <v>58</v>
      </c>
      <c r="H21" s="9" t="n">
        <v>1</v>
      </c>
      <c r="I21" s="8" t="s">
        <v>20</v>
      </c>
      <c r="J21" s="9" t="n">
        <v>0</v>
      </c>
      <c r="K21" s="10" t="s">
        <v>21</v>
      </c>
      <c r="L21" s="5"/>
    </row>
    <row r="22" customFormat="false" ht="15" hidden="false" customHeight="false" outlineLevel="0" collapsed="false">
      <c r="A22" s="4" t="n">
        <v>46307</v>
      </c>
      <c r="B22" s="11" t="s">
        <v>42</v>
      </c>
      <c r="C22" s="10" t="s">
        <v>60</v>
      </c>
      <c r="D22" s="7" t="s">
        <v>16</v>
      </c>
      <c r="E22" s="11" t="s">
        <v>38</v>
      </c>
      <c r="F22" s="13" t="s">
        <v>61</v>
      </c>
      <c r="G22" s="11" t="s">
        <v>62</v>
      </c>
      <c r="H22" s="9" t="n">
        <v>4</v>
      </c>
      <c r="I22" s="13" t="s">
        <v>20</v>
      </c>
      <c r="J22" s="9" t="n">
        <v>934</v>
      </c>
      <c r="K22" s="10" t="s">
        <v>21</v>
      </c>
      <c r="L22" s="11"/>
    </row>
    <row r="23" customFormat="false" ht="15" hidden="false" customHeight="false" outlineLevel="0" collapsed="false">
      <c r="A23" s="4" t="n">
        <v>46307</v>
      </c>
      <c r="B23" s="5" t="s">
        <v>42</v>
      </c>
      <c r="C23" s="6" t="s">
        <v>63</v>
      </c>
      <c r="D23" s="12" t="s">
        <v>23</v>
      </c>
      <c r="E23" s="5" t="s">
        <v>38</v>
      </c>
      <c r="F23" s="8" t="s">
        <v>61</v>
      </c>
      <c r="G23" s="5" t="s">
        <v>62</v>
      </c>
      <c r="H23" s="9" t="n">
        <v>1</v>
      </c>
      <c r="I23" s="8" t="s">
        <v>20</v>
      </c>
      <c r="J23" s="9" t="n">
        <v>0</v>
      </c>
      <c r="K23" s="10" t="s">
        <v>21</v>
      </c>
      <c r="L23" s="5"/>
    </row>
    <row r="24" customFormat="false" ht="15" hidden="false" customHeight="false" outlineLevel="0" collapsed="false">
      <c r="A24" s="4" t="n">
        <v>46307</v>
      </c>
      <c r="B24" s="11" t="s">
        <v>42</v>
      </c>
      <c r="C24" s="10" t="s">
        <v>64</v>
      </c>
      <c r="D24" s="14" t="s">
        <v>34</v>
      </c>
      <c r="E24" s="11" t="s">
        <v>35</v>
      </c>
      <c r="F24" s="13" t="s">
        <v>57</v>
      </c>
      <c r="G24" s="11" t="s">
        <v>58</v>
      </c>
      <c r="H24" s="9" t="n">
        <v>1</v>
      </c>
      <c r="I24" s="13" t="s">
        <v>36</v>
      </c>
      <c r="J24" s="9" t="n">
        <v>1543</v>
      </c>
      <c r="K24" s="10" t="s">
        <v>21</v>
      </c>
      <c r="L24" s="11"/>
    </row>
    <row r="25" customFormat="false" ht="15" hidden="false" customHeight="false" outlineLevel="0" collapsed="false">
      <c r="A25" s="4" t="n">
        <v>46308</v>
      </c>
      <c r="B25" s="5" t="s">
        <v>65</v>
      </c>
      <c r="C25" s="6" t="s">
        <v>43</v>
      </c>
      <c r="D25" s="7" t="s">
        <v>16</v>
      </c>
      <c r="E25" s="5" t="s">
        <v>17</v>
      </c>
      <c r="F25" s="8" t="s">
        <v>66</v>
      </c>
      <c r="G25" s="5" t="s">
        <v>67</v>
      </c>
      <c r="H25" s="9" t="n">
        <v>1</v>
      </c>
      <c r="I25" s="8" t="s">
        <v>20</v>
      </c>
      <c r="J25" s="9" t="n">
        <v>1385</v>
      </c>
      <c r="K25" s="10" t="s">
        <v>21</v>
      </c>
      <c r="L25" s="5"/>
    </row>
    <row r="26" customFormat="false" ht="15" hidden="false" customHeight="false" outlineLevel="0" collapsed="false">
      <c r="A26" s="4" t="n">
        <v>46308</v>
      </c>
      <c r="B26" s="11" t="s">
        <v>65</v>
      </c>
      <c r="C26" s="10" t="s">
        <v>46</v>
      </c>
      <c r="D26" s="12" t="s">
        <v>23</v>
      </c>
      <c r="E26" s="11" t="s">
        <v>17</v>
      </c>
      <c r="F26" s="13" t="s">
        <v>66</v>
      </c>
      <c r="G26" s="11" t="s">
        <v>67</v>
      </c>
      <c r="H26" s="9" t="n">
        <v>1</v>
      </c>
      <c r="I26" s="13" t="s">
        <v>20</v>
      </c>
      <c r="J26" s="9" t="n">
        <v>0</v>
      </c>
      <c r="K26" s="10" t="s">
        <v>21</v>
      </c>
      <c r="L26" s="11"/>
    </row>
    <row r="27" customFormat="false" ht="15" hidden="false" customHeight="false" outlineLevel="0" collapsed="false">
      <c r="A27" s="4" t="n">
        <v>46308</v>
      </c>
      <c r="B27" s="5" t="s">
        <v>65</v>
      </c>
      <c r="C27" s="6" t="s">
        <v>47</v>
      </c>
      <c r="D27" s="7" t="s">
        <v>16</v>
      </c>
      <c r="E27" s="5" t="s">
        <v>24</v>
      </c>
      <c r="F27" s="8" t="s">
        <v>68</v>
      </c>
      <c r="G27" s="5" t="s">
        <v>69</v>
      </c>
      <c r="H27" s="9" t="n">
        <v>4</v>
      </c>
      <c r="I27" s="8" t="s">
        <v>20</v>
      </c>
      <c r="J27" s="9" t="n">
        <v>1410</v>
      </c>
      <c r="K27" s="10" t="s">
        <v>21</v>
      </c>
      <c r="L27" s="5"/>
    </row>
    <row r="28" customFormat="false" ht="15" hidden="false" customHeight="false" outlineLevel="0" collapsed="false">
      <c r="A28" s="4" t="n">
        <v>46308</v>
      </c>
      <c r="B28" s="11" t="s">
        <v>65</v>
      </c>
      <c r="C28" s="10" t="s">
        <v>50</v>
      </c>
      <c r="D28" s="12" t="s">
        <v>23</v>
      </c>
      <c r="E28" s="11" t="s">
        <v>24</v>
      </c>
      <c r="F28" s="13" t="s">
        <v>68</v>
      </c>
      <c r="G28" s="11" t="s">
        <v>69</v>
      </c>
      <c r="H28" s="9" t="n">
        <v>1</v>
      </c>
      <c r="I28" s="13" t="s">
        <v>20</v>
      </c>
      <c r="J28" s="9" t="n">
        <v>0</v>
      </c>
      <c r="K28" s="10" t="s">
        <v>21</v>
      </c>
      <c r="L28" s="11"/>
    </row>
    <row r="29" customFormat="false" ht="15" hidden="false" customHeight="false" outlineLevel="0" collapsed="false">
      <c r="A29" s="4" t="n">
        <v>46308</v>
      </c>
      <c r="B29" s="5" t="s">
        <v>65</v>
      </c>
      <c r="C29" s="6" t="s">
        <v>56</v>
      </c>
      <c r="D29" s="7" t="s">
        <v>16</v>
      </c>
      <c r="E29" s="5" t="s">
        <v>29</v>
      </c>
      <c r="F29" s="8" t="s">
        <v>70</v>
      </c>
      <c r="G29" s="5" t="s">
        <v>71</v>
      </c>
      <c r="H29" s="9" t="n">
        <v>5</v>
      </c>
      <c r="I29" s="8" t="s">
        <v>20</v>
      </c>
      <c r="J29" s="9" t="n">
        <v>1442</v>
      </c>
      <c r="K29" s="10" t="s">
        <v>21</v>
      </c>
      <c r="L29" s="5"/>
    </row>
    <row r="30" customFormat="false" ht="15" hidden="false" customHeight="false" outlineLevel="0" collapsed="false">
      <c r="A30" s="4" t="n">
        <v>46308</v>
      </c>
      <c r="B30" s="11" t="s">
        <v>65</v>
      </c>
      <c r="C30" s="10" t="s">
        <v>59</v>
      </c>
      <c r="D30" s="12" t="s">
        <v>23</v>
      </c>
      <c r="E30" s="11" t="s">
        <v>29</v>
      </c>
      <c r="F30" s="13" t="s">
        <v>70</v>
      </c>
      <c r="G30" s="11" t="s">
        <v>71</v>
      </c>
      <c r="H30" s="9" t="n">
        <v>1</v>
      </c>
      <c r="I30" s="13" t="s">
        <v>20</v>
      </c>
      <c r="J30" s="9" t="n">
        <v>0</v>
      </c>
      <c r="K30" s="10" t="s">
        <v>21</v>
      </c>
      <c r="L30" s="11"/>
    </row>
    <row r="31" customFormat="false" ht="15" hidden="false" customHeight="false" outlineLevel="0" collapsed="false">
      <c r="A31" s="4" t="n">
        <v>46308</v>
      </c>
      <c r="B31" s="5" t="s">
        <v>65</v>
      </c>
      <c r="C31" s="6" t="s">
        <v>72</v>
      </c>
      <c r="D31" s="12" t="s">
        <v>23</v>
      </c>
      <c r="E31" s="5" t="s">
        <v>35</v>
      </c>
      <c r="F31" s="8" t="s">
        <v>53</v>
      </c>
      <c r="G31" s="5" t="s">
        <v>54</v>
      </c>
      <c r="H31" s="9" t="n">
        <v>1</v>
      </c>
      <c r="I31" s="8" t="s">
        <v>20</v>
      </c>
      <c r="J31" s="9" t="n">
        <v>0</v>
      </c>
      <c r="K31" s="10" t="s">
        <v>21</v>
      </c>
      <c r="L31" s="5"/>
    </row>
    <row r="32" customFormat="false" ht="15" hidden="false" customHeight="false" outlineLevel="0" collapsed="false">
      <c r="A32" s="4" t="n">
        <v>46308</v>
      </c>
      <c r="B32" s="11" t="s">
        <v>65</v>
      </c>
      <c r="C32" s="10" t="s">
        <v>73</v>
      </c>
      <c r="D32" s="14" t="s">
        <v>34</v>
      </c>
      <c r="E32" s="11" t="s">
        <v>35</v>
      </c>
      <c r="F32" s="13" t="s">
        <v>70</v>
      </c>
      <c r="G32" s="11" t="s">
        <v>71</v>
      </c>
      <c r="H32" s="9" t="n">
        <v>1</v>
      </c>
      <c r="I32" s="13" t="s">
        <v>36</v>
      </c>
      <c r="J32" s="9" t="n">
        <v>1442</v>
      </c>
      <c r="K32" s="10" t="s">
        <v>21</v>
      </c>
      <c r="L32" s="11"/>
    </row>
    <row r="33" customFormat="false" ht="15" hidden="false" customHeight="false" outlineLevel="0" collapsed="false">
      <c r="A33" s="4" t="n">
        <v>46308</v>
      </c>
      <c r="B33" s="5" t="s">
        <v>65</v>
      </c>
      <c r="C33" s="6" t="s">
        <v>74</v>
      </c>
      <c r="D33" s="7" t="s">
        <v>16</v>
      </c>
      <c r="E33" s="5" t="s">
        <v>38</v>
      </c>
      <c r="F33" s="8" t="s">
        <v>75</v>
      </c>
      <c r="G33" s="5" t="s">
        <v>76</v>
      </c>
      <c r="H33" s="9" t="n">
        <v>4</v>
      </c>
      <c r="I33" s="8" t="s">
        <v>20</v>
      </c>
      <c r="J33" s="9" t="n">
        <v>1044</v>
      </c>
      <c r="K33" s="10" t="s">
        <v>21</v>
      </c>
      <c r="L33" s="5"/>
    </row>
    <row r="34" customFormat="false" ht="15" hidden="false" customHeight="false" outlineLevel="0" collapsed="false">
      <c r="A34" s="4" t="n">
        <v>46308</v>
      </c>
      <c r="B34" s="11" t="s">
        <v>65</v>
      </c>
      <c r="C34" s="10" t="s">
        <v>77</v>
      </c>
      <c r="D34" s="12" t="s">
        <v>23</v>
      </c>
      <c r="E34" s="11" t="s">
        <v>38</v>
      </c>
      <c r="F34" s="13" t="s">
        <v>75</v>
      </c>
      <c r="G34" s="11" t="s">
        <v>76</v>
      </c>
      <c r="H34" s="9" t="n">
        <v>1</v>
      </c>
      <c r="I34" s="13" t="s">
        <v>20</v>
      </c>
      <c r="J34" s="9" t="n">
        <v>0</v>
      </c>
      <c r="K34" s="10" t="s">
        <v>21</v>
      </c>
      <c r="L34" s="11"/>
    </row>
    <row r="35" customFormat="false" ht="15" hidden="false" customHeight="false" outlineLevel="0" collapsed="false">
      <c r="A35" s="4" t="n">
        <v>46309</v>
      </c>
      <c r="B35" s="5" t="s">
        <v>78</v>
      </c>
      <c r="C35" s="6" t="s">
        <v>43</v>
      </c>
      <c r="D35" s="7" t="s">
        <v>16</v>
      </c>
      <c r="E35" s="5" t="s">
        <v>17</v>
      </c>
      <c r="F35" s="8" t="s">
        <v>79</v>
      </c>
      <c r="G35" s="5" t="s">
        <v>80</v>
      </c>
      <c r="H35" s="9" t="n">
        <v>4</v>
      </c>
      <c r="I35" s="8" t="s">
        <v>20</v>
      </c>
      <c r="J35" s="9" t="n">
        <v>857</v>
      </c>
      <c r="K35" s="10" t="s">
        <v>21</v>
      </c>
      <c r="L35" s="5"/>
    </row>
    <row r="36" customFormat="false" ht="15" hidden="false" customHeight="false" outlineLevel="0" collapsed="false">
      <c r="A36" s="4" t="n">
        <v>46309</v>
      </c>
      <c r="B36" s="11" t="s">
        <v>78</v>
      </c>
      <c r="C36" s="10" t="s">
        <v>46</v>
      </c>
      <c r="D36" s="12" t="s">
        <v>23</v>
      </c>
      <c r="E36" s="11" t="s">
        <v>17</v>
      </c>
      <c r="F36" s="13" t="s">
        <v>79</v>
      </c>
      <c r="G36" s="11" t="s">
        <v>80</v>
      </c>
      <c r="H36" s="9" t="n">
        <v>1</v>
      </c>
      <c r="I36" s="13" t="s">
        <v>20</v>
      </c>
      <c r="J36" s="9" t="n">
        <v>0</v>
      </c>
      <c r="K36" s="10" t="s">
        <v>21</v>
      </c>
      <c r="L36" s="11"/>
    </row>
    <row r="37" customFormat="false" ht="15" hidden="false" customHeight="false" outlineLevel="0" collapsed="false">
      <c r="A37" s="4" t="n">
        <v>46309</v>
      </c>
      <c r="B37" s="5" t="s">
        <v>78</v>
      </c>
      <c r="C37" s="6" t="s">
        <v>47</v>
      </c>
      <c r="D37" s="7" t="s">
        <v>16</v>
      </c>
      <c r="E37" s="5" t="s">
        <v>24</v>
      </c>
      <c r="F37" s="8" t="s">
        <v>81</v>
      </c>
      <c r="G37" s="5" t="s">
        <v>82</v>
      </c>
      <c r="H37" s="9" t="n">
        <v>5</v>
      </c>
      <c r="I37" s="8" t="s">
        <v>20</v>
      </c>
      <c r="J37" s="9" t="n">
        <v>1270</v>
      </c>
      <c r="K37" s="10" t="s">
        <v>21</v>
      </c>
      <c r="L37" s="5"/>
    </row>
    <row r="38" customFormat="false" ht="15" hidden="false" customHeight="false" outlineLevel="0" collapsed="false">
      <c r="A38" s="4" t="n">
        <v>46309</v>
      </c>
      <c r="B38" s="11" t="s">
        <v>78</v>
      </c>
      <c r="C38" s="10" t="s">
        <v>50</v>
      </c>
      <c r="D38" s="12" t="s">
        <v>23</v>
      </c>
      <c r="E38" s="11" t="s">
        <v>24</v>
      </c>
      <c r="F38" s="13" t="s">
        <v>81</v>
      </c>
      <c r="G38" s="11" t="s">
        <v>82</v>
      </c>
      <c r="H38" s="9" t="n">
        <v>1</v>
      </c>
      <c r="I38" s="13" t="s">
        <v>20</v>
      </c>
      <c r="J38" s="9" t="n">
        <v>0</v>
      </c>
      <c r="K38" s="10" t="s">
        <v>21</v>
      </c>
      <c r="L38" s="11"/>
    </row>
    <row r="39" customFormat="false" ht="15" hidden="false" customHeight="false" outlineLevel="0" collapsed="false">
      <c r="A39" s="4" t="n">
        <v>46309</v>
      </c>
      <c r="B39" s="5" t="s">
        <v>78</v>
      </c>
      <c r="C39" s="6" t="s">
        <v>56</v>
      </c>
      <c r="D39" s="7" t="s">
        <v>16</v>
      </c>
      <c r="E39" s="5" t="s">
        <v>29</v>
      </c>
      <c r="F39" s="8" t="s">
        <v>83</v>
      </c>
      <c r="G39" s="5" t="s">
        <v>84</v>
      </c>
      <c r="H39" s="9" t="n">
        <v>5</v>
      </c>
      <c r="I39" s="8" t="s">
        <v>20</v>
      </c>
      <c r="J39" s="9" t="n">
        <v>1653</v>
      </c>
      <c r="K39" s="10" t="s">
        <v>21</v>
      </c>
      <c r="L39" s="5"/>
    </row>
    <row r="40" customFormat="false" ht="15" hidden="false" customHeight="false" outlineLevel="0" collapsed="false">
      <c r="A40" s="4" t="n">
        <v>46309</v>
      </c>
      <c r="B40" s="11" t="s">
        <v>78</v>
      </c>
      <c r="C40" s="10" t="s">
        <v>59</v>
      </c>
      <c r="D40" s="12" t="s">
        <v>23</v>
      </c>
      <c r="E40" s="11" t="s">
        <v>29</v>
      </c>
      <c r="F40" s="13" t="s">
        <v>83</v>
      </c>
      <c r="G40" s="11" t="s">
        <v>84</v>
      </c>
      <c r="H40" s="9" t="n">
        <v>1</v>
      </c>
      <c r="I40" s="13" t="s">
        <v>20</v>
      </c>
      <c r="J40" s="9" t="n">
        <v>0</v>
      </c>
      <c r="K40" s="10" t="s">
        <v>21</v>
      </c>
      <c r="L40" s="11"/>
    </row>
    <row r="41" customFormat="false" ht="15" hidden="false" customHeight="false" outlineLevel="0" collapsed="false">
      <c r="A41" s="4" t="n">
        <v>46309</v>
      </c>
      <c r="B41" s="5" t="s">
        <v>78</v>
      </c>
      <c r="C41" s="6" t="s">
        <v>72</v>
      </c>
      <c r="D41" s="12" t="s">
        <v>23</v>
      </c>
      <c r="E41" s="5" t="s">
        <v>35</v>
      </c>
      <c r="F41" s="8" t="s">
        <v>53</v>
      </c>
      <c r="G41" s="5" t="s">
        <v>54</v>
      </c>
      <c r="H41" s="9" t="n">
        <v>1</v>
      </c>
      <c r="I41" s="8" t="s">
        <v>20</v>
      </c>
      <c r="J41" s="9" t="n">
        <v>0</v>
      </c>
      <c r="K41" s="10" t="s">
        <v>21</v>
      </c>
      <c r="L41" s="5"/>
    </row>
    <row r="42" customFormat="false" ht="15" hidden="false" customHeight="false" outlineLevel="0" collapsed="false">
      <c r="A42" s="4" t="n">
        <v>46309</v>
      </c>
      <c r="B42" s="11" t="s">
        <v>78</v>
      </c>
      <c r="C42" s="10" t="s">
        <v>73</v>
      </c>
      <c r="D42" s="14" t="s">
        <v>34</v>
      </c>
      <c r="E42" s="11" t="s">
        <v>35</v>
      </c>
      <c r="F42" s="13" t="s">
        <v>83</v>
      </c>
      <c r="G42" s="11" t="s">
        <v>84</v>
      </c>
      <c r="H42" s="9" t="n">
        <v>1</v>
      </c>
      <c r="I42" s="13" t="s">
        <v>36</v>
      </c>
      <c r="J42" s="9" t="n">
        <v>1653</v>
      </c>
      <c r="K42" s="10" t="s">
        <v>21</v>
      </c>
      <c r="L42" s="11"/>
    </row>
    <row r="43" customFormat="false" ht="15" hidden="false" customHeight="false" outlineLevel="0" collapsed="false">
      <c r="A43" s="4" t="n">
        <v>46309</v>
      </c>
      <c r="B43" s="5" t="s">
        <v>78</v>
      </c>
      <c r="C43" s="6" t="s">
        <v>74</v>
      </c>
      <c r="D43" s="7" t="s">
        <v>16</v>
      </c>
      <c r="E43" s="5" t="s">
        <v>38</v>
      </c>
      <c r="F43" s="8" t="s">
        <v>85</v>
      </c>
      <c r="G43" s="5" t="s">
        <v>86</v>
      </c>
      <c r="H43" s="9" t="n">
        <v>6</v>
      </c>
      <c r="I43" s="8" t="s">
        <v>20</v>
      </c>
      <c r="J43" s="9" t="n">
        <v>1481</v>
      </c>
      <c r="K43" s="10" t="s">
        <v>21</v>
      </c>
      <c r="L43" s="5"/>
    </row>
    <row r="44" customFormat="false" ht="15" hidden="false" customHeight="false" outlineLevel="0" collapsed="false">
      <c r="A44" s="4" t="n">
        <v>46309</v>
      </c>
      <c r="B44" s="11" t="s">
        <v>78</v>
      </c>
      <c r="C44" s="10" t="s">
        <v>77</v>
      </c>
      <c r="D44" s="12" t="s">
        <v>23</v>
      </c>
      <c r="E44" s="11" t="s">
        <v>38</v>
      </c>
      <c r="F44" s="13" t="s">
        <v>85</v>
      </c>
      <c r="G44" s="11" t="s">
        <v>86</v>
      </c>
      <c r="H44" s="9" t="n">
        <v>1</v>
      </c>
      <c r="I44" s="13" t="s">
        <v>20</v>
      </c>
      <c r="J44" s="9" t="n">
        <v>0</v>
      </c>
      <c r="K44" s="10" t="s">
        <v>21</v>
      </c>
      <c r="L44" s="11"/>
    </row>
    <row r="45" customFormat="false" ht="15" hidden="false" customHeight="false" outlineLevel="0" collapsed="false">
      <c r="A45" s="4" t="n">
        <v>46310</v>
      </c>
      <c r="B45" s="5" t="s">
        <v>87</v>
      </c>
      <c r="C45" s="6" t="s">
        <v>43</v>
      </c>
      <c r="D45" s="7" t="s">
        <v>16</v>
      </c>
      <c r="E45" s="5" t="s">
        <v>17</v>
      </c>
      <c r="F45" s="8" t="s">
        <v>88</v>
      </c>
      <c r="G45" s="5" t="s">
        <v>89</v>
      </c>
      <c r="H45" s="9" t="n">
        <v>1</v>
      </c>
      <c r="I45" s="8" t="s">
        <v>20</v>
      </c>
      <c r="J45" s="9" t="n">
        <v>1577</v>
      </c>
      <c r="K45" s="10" t="s">
        <v>21</v>
      </c>
      <c r="L45" s="5"/>
    </row>
    <row r="46" customFormat="false" ht="15" hidden="false" customHeight="false" outlineLevel="0" collapsed="false">
      <c r="A46" s="4" t="n">
        <v>46310</v>
      </c>
      <c r="B46" s="11" t="s">
        <v>87</v>
      </c>
      <c r="C46" s="10" t="s">
        <v>46</v>
      </c>
      <c r="D46" s="12" t="s">
        <v>23</v>
      </c>
      <c r="E46" s="11" t="s">
        <v>17</v>
      </c>
      <c r="F46" s="13" t="s">
        <v>88</v>
      </c>
      <c r="G46" s="11" t="s">
        <v>89</v>
      </c>
      <c r="H46" s="9" t="n">
        <v>1</v>
      </c>
      <c r="I46" s="13" t="s">
        <v>20</v>
      </c>
      <c r="J46" s="9" t="n">
        <v>0</v>
      </c>
      <c r="K46" s="10" t="s">
        <v>21</v>
      </c>
      <c r="L46" s="11"/>
    </row>
    <row r="47" customFormat="false" ht="15" hidden="false" customHeight="false" outlineLevel="0" collapsed="false">
      <c r="A47" s="4" t="n">
        <v>46310</v>
      </c>
      <c r="B47" s="5" t="s">
        <v>87</v>
      </c>
      <c r="C47" s="6" t="s">
        <v>47</v>
      </c>
      <c r="D47" s="7" t="s">
        <v>16</v>
      </c>
      <c r="E47" s="5" t="s">
        <v>24</v>
      </c>
      <c r="F47" s="8" t="s">
        <v>90</v>
      </c>
      <c r="G47" s="5" t="s">
        <v>91</v>
      </c>
      <c r="H47" s="9" t="n">
        <v>5</v>
      </c>
      <c r="I47" s="8" t="s">
        <v>20</v>
      </c>
      <c r="J47" s="9" t="n">
        <v>1655</v>
      </c>
      <c r="K47" s="10" t="s">
        <v>21</v>
      </c>
      <c r="L47" s="5"/>
    </row>
    <row r="48" customFormat="false" ht="15" hidden="false" customHeight="false" outlineLevel="0" collapsed="false">
      <c r="A48" s="4" t="n">
        <v>46310</v>
      </c>
      <c r="B48" s="11" t="s">
        <v>87</v>
      </c>
      <c r="C48" s="10" t="s">
        <v>50</v>
      </c>
      <c r="D48" s="12" t="s">
        <v>23</v>
      </c>
      <c r="E48" s="11" t="s">
        <v>24</v>
      </c>
      <c r="F48" s="13" t="s">
        <v>90</v>
      </c>
      <c r="G48" s="11" t="s">
        <v>91</v>
      </c>
      <c r="H48" s="9" t="n">
        <v>1</v>
      </c>
      <c r="I48" s="13" t="s">
        <v>20</v>
      </c>
      <c r="J48" s="9" t="n">
        <v>0</v>
      </c>
      <c r="K48" s="10" t="s">
        <v>21</v>
      </c>
      <c r="L48" s="11"/>
    </row>
    <row r="49" customFormat="false" ht="15" hidden="false" customHeight="false" outlineLevel="0" collapsed="false">
      <c r="A49" s="4" t="n">
        <v>46310</v>
      </c>
      <c r="B49" s="5" t="s">
        <v>87</v>
      </c>
      <c r="C49" s="6" t="s">
        <v>56</v>
      </c>
      <c r="D49" s="7" t="s">
        <v>16</v>
      </c>
      <c r="E49" s="5" t="s">
        <v>29</v>
      </c>
      <c r="F49" s="8" t="s">
        <v>92</v>
      </c>
      <c r="G49" s="5" t="s">
        <v>93</v>
      </c>
      <c r="H49" s="9" t="n">
        <v>5</v>
      </c>
      <c r="I49" s="8" t="s">
        <v>20</v>
      </c>
      <c r="J49" s="9" t="n">
        <v>1243</v>
      </c>
      <c r="K49" s="10" t="s">
        <v>21</v>
      </c>
      <c r="L49" s="5"/>
    </row>
    <row r="50" customFormat="false" ht="15" hidden="false" customHeight="false" outlineLevel="0" collapsed="false">
      <c r="A50" s="4" t="n">
        <v>46310</v>
      </c>
      <c r="B50" s="11" t="s">
        <v>87</v>
      </c>
      <c r="C50" s="10" t="s">
        <v>59</v>
      </c>
      <c r="D50" s="12" t="s">
        <v>23</v>
      </c>
      <c r="E50" s="11" t="s">
        <v>29</v>
      </c>
      <c r="F50" s="13" t="s">
        <v>92</v>
      </c>
      <c r="G50" s="11" t="s">
        <v>93</v>
      </c>
      <c r="H50" s="9" t="n">
        <v>1</v>
      </c>
      <c r="I50" s="13" t="s">
        <v>20</v>
      </c>
      <c r="J50" s="9" t="n">
        <v>0</v>
      </c>
      <c r="K50" s="10" t="s">
        <v>21</v>
      </c>
      <c r="L50" s="11"/>
    </row>
    <row r="51" customFormat="false" ht="15" hidden="false" customHeight="false" outlineLevel="0" collapsed="false">
      <c r="A51" s="4" t="n">
        <v>46310</v>
      </c>
      <c r="B51" s="5" t="s">
        <v>87</v>
      </c>
      <c r="C51" s="6" t="s">
        <v>94</v>
      </c>
      <c r="D51" s="15" t="s">
        <v>52</v>
      </c>
      <c r="E51" s="5" t="s">
        <v>35</v>
      </c>
      <c r="F51" s="8" t="s">
        <v>95</v>
      </c>
      <c r="G51" s="5" t="s">
        <v>96</v>
      </c>
      <c r="H51" s="9" t="n">
        <v>1</v>
      </c>
      <c r="I51" s="8" t="s">
        <v>20</v>
      </c>
      <c r="J51" s="9" t="n">
        <v>564</v>
      </c>
      <c r="K51" s="10" t="s">
        <v>21</v>
      </c>
      <c r="L51" s="5"/>
    </row>
    <row r="52" customFormat="false" ht="15" hidden="false" customHeight="false" outlineLevel="0" collapsed="false">
      <c r="A52" s="4" t="n">
        <v>46310</v>
      </c>
      <c r="B52" s="11" t="s">
        <v>87</v>
      </c>
      <c r="C52" s="10" t="s">
        <v>97</v>
      </c>
      <c r="D52" s="12" t="s">
        <v>23</v>
      </c>
      <c r="E52" s="11" t="s">
        <v>35</v>
      </c>
      <c r="F52" s="13" t="s">
        <v>95</v>
      </c>
      <c r="G52" s="11" t="s">
        <v>96</v>
      </c>
      <c r="H52" s="9" t="n">
        <v>1</v>
      </c>
      <c r="I52" s="13" t="s">
        <v>20</v>
      </c>
      <c r="J52" s="9" t="n">
        <v>0</v>
      </c>
      <c r="K52" s="10" t="s">
        <v>21</v>
      </c>
      <c r="L52" s="11"/>
    </row>
    <row r="53" customFormat="false" ht="15" hidden="false" customHeight="false" outlineLevel="0" collapsed="false">
      <c r="A53" s="4" t="n">
        <v>46310</v>
      </c>
      <c r="B53" s="5" t="s">
        <v>87</v>
      </c>
      <c r="C53" s="6" t="s">
        <v>73</v>
      </c>
      <c r="D53" s="14" t="s">
        <v>34</v>
      </c>
      <c r="E53" s="5" t="s">
        <v>35</v>
      </c>
      <c r="F53" s="8" t="s">
        <v>92</v>
      </c>
      <c r="G53" s="5" t="s">
        <v>93</v>
      </c>
      <c r="H53" s="9" t="n">
        <v>1</v>
      </c>
      <c r="I53" s="8" t="s">
        <v>36</v>
      </c>
      <c r="J53" s="9" t="n">
        <v>1243</v>
      </c>
      <c r="K53" s="10" t="s">
        <v>21</v>
      </c>
      <c r="L53" s="5"/>
    </row>
    <row r="54" customFormat="false" ht="15" hidden="false" customHeight="false" outlineLevel="0" collapsed="false">
      <c r="A54" s="4" t="n">
        <v>46310</v>
      </c>
      <c r="B54" s="11" t="s">
        <v>87</v>
      </c>
      <c r="C54" s="10" t="s">
        <v>74</v>
      </c>
      <c r="D54" s="7" t="s">
        <v>16</v>
      </c>
      <c r="E54" s="11" t="s">
        <v>38</v>
      </c>
      <c r="F54" s="13" t="s">
        <v>98</v>
      </c>
      <c r="G54" s="11" t="s">
        <v>99</v>
      </c>
      <c r="H54" s="9" t="n">
        <v>5</v>
      </c>
      <c r="I54" s="13" t="s">
        <v>20</v>
      </c>
      <c r="J54" s="9" t="n">
        <v>1515</v>
      </c>
      <c r="K54" s="10" t="s">
        <v>21</v>
      </c>
      <c r="L54" s="11"/>
    </row>
    <row r="55" customFormat="false" ht="15" hidden="false" customHeight="false" outlineLevel="0" collapsed="false">
      <c r="A55" s="4" t="n">
        <v>46310</v>
      </c>
      <c r="B55" s="5" t="s">
        <v>87</v>
      </c>
      <c r="C55" s="6" t="s">
        <v>77</v>
      </c>
      <c r="D55" s="12" t="s">
        <v>23</v>
      </c>
      <c r="E55" s="5" t="s">
        <v>38</v>
      </c>
      <c r="F55" s="8" t="s">
        <v>98</v>
      </c>
      <c r="G55" s="5" t="s">
        <v>99</v>
      </c>
      <c r="H55" s="9" t="n">
        <v>1</v>
      </c>
      <c r="I55" s="8" t="s">
        <v>20</v>
      </c>
      <c r="J55" s="9" t="n">
        <v>0</v>
      </c>
      <c r="K55" s="10" t="s">
        <v>21</v>
      </c>
      <c r="L55" s="5"/>
    </row>
    <row r="56" customFormat="false" ht="15" hidden="false" customHeight="false" outlineLevel="0" collapsed="false">
      <c r="A56" s="4" t="n">
        <v>46311</v>
      </c>
      <c r="B56" s="11" t="s">
        <v>100</v>
      </c>
      <c r="C56" s="10" t="s">
        <v>43</v>
      </c>
      <c r="D56" s="7" t="s">
        <v>16</v>
      </c>
      <c r="E56" s="11" t="s">
        <v>17</v>
      </c>
      <c r="F56" s="13" t="s">
        <v>101</v>
      </c>
      <c r="G56" s="11" t="s">
        <v>102</v>
      </c>
      <c r="H56" s="9" t="n">
        <v>1</v>
      </c>
      <c r="I56" s="13" t="s">
        <v>20</v>
      </c>
      <c r="J56" s="9" t="n">
        <v>1972</v>
      </c>
      <c r="K56" s="10" t="s">
        <v>21</v>
      </c>
      <c r="L56" s="11"/>
    </row>
    <row r="57" customFormat="false" ht="15" hidden="false" customHeight="false" outlineLevel="0" collapsed="false">
      <c r="A57" s="4" t="n">
        <v>46311</v>
      </c>
      <c r="B57" s="5" t="s">
        <v>100</v>
      </c>
      <c r="C57" s="6" t="s">
        <v>46</v>
      </c>
      <c r="D57" s="12" t="s">
        <v>23</v>
      </c>
      <c r="E57" s="5" t="s">
        <v>17</v>
      </c>
      <c r="F57" s="8" t="s">
        <v>101</v>
      </c>
      <c r="G57" s="5" t="s">
        <v>102</v>
      </c>
      <c r="H57" s="9" t="n">
        <v>1</v>
      </c>
      <c r="I57" s="8" t="s">
        <v>20</v>
      </c>
      <c r="J57" s="9" t="n">
        <v>0</v>
      </c>
      <c r="K57" s="10" t="s">
        <v>21</v>
      </c>
      <c r="L57" s="5"/>
    </row>
    <row r="58" customFormat="false" ht="15" hidden="false" customHeight="false" outlineLevel="0" collapsed="false">
      <c r="A58" s="4" t="n">
        <v>46311</v>
      </c>
      <c r="B58" s="11" t="s">
        <v>100</v>
      </c>
      <c r="C58" s="10" t="s">
        <v>47</v>
      </c>
      <c r="D58" s="7" t="s">
        <v>16</v>
      </c>
      <c r="E58" s="11" t="s">
        <v>24</v>
      </c>
      <c r="F58" s="13" t="s">
        <v>103</v>
      </c>
      <c r="G58" s="11" t="s">
        <v>104</v>
      </c>
      <c r="H58" s="9" t="n">
        <v>1</v>
      </c>
      <c r="I58" s="13" t="s">
        <v>20</v>
      </c>
      <c r="J58" s="9" t="n">
        <v>1794</v>
      </c>
      <c r="K58" s="10" t="s">
        <v>21</v>
      </c>
      <c r="L58" s="11"/>
    </row>
    <row r="59" customFormat="false" ht="15" hidden="false" customHeight="false" outlineLevel="0" collapsed="false">
      <c r="A59" s="4" t="n">
        <v>46311</v>
      </c>
      <c r="B59" s="5" t="s">
        <v>100</v>
      </c>
      <c r="C59" s="6" t="s">
        <v>50</v>
      </c>
      <c r="D59" s="12" t="s">
        <v>23</v>
      </c>
      <c r="E59" s="5" t="s">
        <v>24</v>
      </c>
      <c r="F59" s="8" t="s">
        <v>103</v>
      </c>
      <c r="G59" s="5" t="s">
        <v>104</v>
      </c>
      <c r="H59" s="9" t="n">
        <v>1</v>
      </c>
      <c r="I59" s="8" t="s">
        <v>20</v>
      </c>
      <c r="J59" s="9" t="n">
        <v>0</v>
      </c>
      <c r="K59" s="10" t="s">
        <v>21</v>
      </c>
      <c r="L59" s="5"/>
    </row>
    <row r="60" customFormat="false" ht="15" hidden="false" customHeight="false" outlineLevel="0" collapsed="false">
      <c r="A60" s="4" t="n">
        <v>46311</v>
      </c>
      <c r="B60" s="11" t="s">
        <v>100</v>
      </c>
      <c r="C60" s="10" t="s">
        <v>105</v>
      </c>
      <c r="D60" s="7" t="s">
        <v>16</v>
      </c>
      <c r="E60" s="11" t="s">
        <v>29</v>
      </c>
      <c r="F60" s="13" t="s">
        <v>106</v>
      </c>
      <c r="G60" s="11" t="s">
        <v>107</v>
      </c>
      <c r="H60" s="9" t="n">
        <v>1</v>
      </c>
      <c r="I60" s="13" t="s">
        <v>20</v>
      </c>
      <c r="J60" s="9" t="n">
        <v>2099</v>
      </c>
      <c r="K60" s="10" t="s">
        <v>21</v>
      </c>
      <c r="L60" s="11"/>
    </row>
    <row r="61" customFormat="false" ht="15" hidden="false" customHeight="false" outlineLevel="0" collapsed="false">
      <c r="A61" s="4" t="n">
        <v>46311</v>
      </c>
      <c r="B61" s="5" t="s">
        <v>100</v>
      </c>
      <c r="C61" s="6" t="s">
        <v>108</v>
      </c>
      <c r="D61" s="12" t="s">
        <v>23</v>
      </c>
      <c r="E61" s="5" t="s">
        <v>29</v>
      </c>
      <c r="F61" s="8" t="s">
        <v>106</v>
      </c>
      <c r="G61" s="5" t="s">
        <v>107</v>
      </c>
      <c r="H61" s="9" t="n">
        <v>1</v>
      </c>
      <c r="I61" s="8" t="s">
        <v>20</v>
      </c>
      <c r="J61" s="9" t="n">
        <v>0</v>
      </c>
      <c r="K61" s="10" t="s">
        <v>21</v>
      </c>
      <c r="L61" s="5"/>
    </row>
    <row r="62" customFormat="false" ht="15" hidden="false" customHeight="false" outlineLevel="0" collapsed="false">
      <c r="A62" s="4" t="n">
        <v>46311</v>
      </c>
      <c r="B62" s="11" t="s">
        <v>100</v>
      </c>
      <c r="C62" s="10" t="s">
        <v>109</v>
      </c>
      <c r="D62" s="7" t="s">
        <v>16</v>
      </c>
      <c r="E62" s="11" t="s">
        <v>38</v>
      </c>
      <c r="F62" s="13" t="s">
        <v>110</v>
      </c>
      <c r="G62" s="11" t="s">
        <v>111</v>
      </c>
      <c r="H62" s="9" t="n">
        <v>1</v>
      </c>
      <c r="I62" s="13" t="s">
        <v>20</v>
      </c>
      <c r="J62" s="9" t="n">
        <v>1612</v>
      </c>
      <c r="K62" s="10" t="s">
        <v>21</v>
      </c>
      <c r="L62" s="11"/>
    </row>
    <row r="63" customFormat="false" ht="15" hidden="false" customHeight="false" outlineLevel="0" collapsed="false">
      <c r="A63" s="4" t="n">
        <v>46311</v>
      </c>
      <c r="B63" s="5" t="s">
        <v>100</v>
      </c>
      <c r="C63" s="6" t="s">
        <v>112</v>
      </c>
      <c r="D63" s="12" t="s">
        <v>23</v>
      </c>
      <c r="E63" s="5" t="s">
        <v>38</v>
      </c>
      <c r="F63" s="8" t="s">
        <v>110</v>
      </c>
      <c r="G63" s="5" t="s">
        <v>111</v>
      </c>
      <c r="H63" s="9" t="n">
        <v>1</v>
      </c>
      <c r="I63" s="8" t="s">
        <v>20</v>
      </c>
      <c r="J63" s="9" t="n">
        <v>0</v>
      </c>
      <c r="K63" s="10" t="s">
        <v>21</v>
      </c>
      <c r="L63" s="5"/>
    </row>
    <row r="64" customFormat="false" ht="15" hidden="false" customHeight="false" outlineLevel="0" collapsed="false">
      <c r="A64" s="4" t="n">
        <v>46311</v>
      </c>
      <c r="B64" s="11" t="s">
        <v>100</v>
      </c>
      <c r="C64" s="10" t="s">
        <v>113</v>
      </c>
      <c r="D64" s="14" t="s">
        <v>34</v>
      </c>
      <c r="E64" s="11" t="s">
        <v>35</v>
      </c>
      <c r="F64" s="13" t="s">
        <v>101</v>
      </c>
      <c r="G64" s="11" t="s">
        <v>102</v>
      </c>
      <c r="H64" s="9" t="n">
        <v>1</v>
      </c>
      <c r="I64" s="13" t="s">
        <v>36</v>
      </c>
      <c r="J64" s="9" t="n">
        <v>1972</v>
      </c>
      <c r="K64" s="10" t="s">
        <v>21</v>
      </c>
      <c r="L64" s="11"/>
    </row>
    <row r="65" customFormat="false" ht="15" hidden="false" customHeight="false" outlineLevel="0" collapsed="false">
      <c r="A65" s="4" t="n">
        <v>46312</v>
      </c>
      <c r="B65" s="5" t="s">
        <v>114</v>
      </c>
      <c r="C65" s="6" t="s">
        <v>115</v>
      </c>
      <c r="D65" s="7" t="s">
        <v>16</v>
      </c>
      <c r="E65" s="5" t="s">
        <v>17</v>
      </c>
      <c r="F65" s="8" t="s">
        <v>116</v>
      </c>
      <c r="G65" s="5" t="s">
        <v>117</v>
      </c>
      <c r="H65" s="9" t="n">
        <v>1</v>
      </c>
      <c r="I65" s="8" t="s">
        <v>20</v>
      </c>
      <c r="J65" s="9" t="n">
        <v>1762</v>
      </c>
      <c r="K65" s="10" t="s">
        <v>21</v>
      </c>
      <c r="L65" s="5"/>
    </row>
    <row r="66" customFormat="false" ht="15" hidden="false" customHeight="false" outlineLevel="0" collapsed="false">
      <c r="A66" s="4" t="n">
        <v>46312</v>
      </c>
      <c r="B66" s="11" t="s">
        <v>114</v>
      </c>
      <c r="C66" s="10" t="s">
        <v>118</v>
      </c>
      <c r="D66" s="12" t="s">
        <v>23</v>
      </c>
      <c r="E66" s="11" t="s">
        <v>17</v>
      </c>
      <c r="F66" s="13" t="s">
        <v>116</v>
      </c>
      <c r="G66" s="11" t="s">
        <v>117</v>
      </c>
      <c r="H66" s="9" t="n">
        <v>1</v>
      </c>
      <c r="I66" s="13" t="s">
        <v>20</v>
      </c>
      <c r="J66" s="9" t="n">
        <v>0</v>
      </c>
      <c r="K66" s="10" t="s">
        <v>21</v>
      </c>
      <c r="L66" s="11"/>
    </row>
    <row r="67" customFormat="false" ht="15" hidden="false" customHeight="false" outlineLevel="0" collapsed="false">
      <c r="A67" s="4" t="n">
        <v>46312</v>
      </c>
      <c r="B67" s="5" t="s">
        <v>114</v>
      </c>
      <c r="C67" s="6" t="s">
        <v>22</v>
      </c>
      <c r="D67" s="7" t="s">
        <v>16</v>
      </c>
      <c r="E67" s="5" t="s">
        <v>24</v>
      </c>
      <c r="F67" s="8" t="s">
        <v>119</v>
      </c>
      <c r="G67" s="5" t="s">
        <v>120</v>
      </c>
      <c r="H67" s="9" t="n">
        <v>1</v>
      </c>
      <c r="I67" s="8" t="s">
        <v>20</v>
      </c>
      <c r="J67" s="9" t="n">
        <v>1681</v>
      </c>
      <c r="K67" s="10" t="s">
        <v>21</v>
      </c>
      <c r="L67" s="5"/>
    </row>
    <row r="68" customFormat="false" ht="15" hidden="false" customHeight="false" outlineLevel="0" collapsed="false">
      <c r="A68" s="4" t="n">
        <v>46312</v>
      </c>
      <c r="B68" s="11" t="s">
        <v>114</v>
      </c>
      <c r="C68" s="10" t="s">
        <v>27</v>
      </c>
      <c r="D68" s="12" t="s">
        <v>23</v>
      </c>
      <c r="E68" s="11" t="s">
        <v>24</v>
      </c>
      <c r="F68" s="13" t="s">
        <v>119</v>
      </c>
      <c r="G68" s="11" t="s">
        <v>120</v>
      </c>
      <c r="H68" s="9" t="n">
        <v>1</v>
      </c>
      <c r="I68" s="13" t="s">
        <v>20</v>
      </c>
      <c r="J68" s="9" t="n">
        <v>0</v>
      </c>
      <c r="K68" s="10" t="s">
        <v>21</v>
      </c>
      <c r="L68" s="11"/>
    </row>
    <row r="69" customFormat="false" ht="15" hidden="false" customHeight="false" outlineLevel="0" collapsed="false">
      <c r="A69" s="4" t="n">
        <v>46312</v>
      </c>
      <c r="B69" s="5" t="s">
        <v>114</v>
      </c>
      <c r="C69" s="6" t="s">
        <v>121</v>
      </c>
      <c r="D69" s="7" t="s">
        <v>16</v>
      </c>
      <c r="E69" s="5" t="s">
        <v>29</v>
      </c>
      <c r="F69" s="8" t="s">
        <v>122</v>
      </c>
      <c r="G69" s="5" t="s">
        <v>123</v>
      </c>
      <c r="H69" s="9" t="n">
        <v>1</v>
      </c>
      <c r="I69" s="8" t="s">
        <v>20</v>
      </c>
      <c r="J69" s="9" t="n">
        <v>1494</v>
      </c>
      <c r="K69" s="10" t="s">
        <v>21</v>
      </c>
      <c r="L69" s="5"/>
    </row>
    <row r="70" customFormat="false" ht="15" hidden="false" customHeight="false" outlineLevel="0" collapsed="false">
      <c r="A70" s="4" t="n">
        <v>46312</v>
      </c>
      <c r="B70" s="11" t="s">
        <v>114</v>
      </c>
      <c r="C70" s="10" t="s">
        <v>124</v>
      </c>
      <c r="D70" s="12" t="s">
        <v>23</v>
      </c>
      <c r="E70" s="11" t="s">
        <v>29</v>
      </c>
      <c r="F70" s="13" t="s">
        <v>122</v>
      </c>
      <c r="G70" s="11" t="s">
        <v>123</v>
      </c>
      <c r="H70" s="9" t="n">
        <v>1</v>
      </c>
      <c r="I70" s="13" t="s">
        <v>20</v>
      </c>
      <c r="J70" s="9" t="n">
        <v>0</v>
      </c>
      <c r="K70" s="10" t="s">
        <v>21</v>
      </c>
      <c r="L70" s="11"/>
    </row>
    <row r="71" customFormat="false" ht="15" hidden="false" customHeight="false" outlineLevel="0" collapsed="false">
      <c r="A71" s="4" t="n">
        <v>46312</v>
      </c>
      <c r="B71" s="5" t="s">
        <v>114</v>
      </c>
      <c r="C71" s="6" t="s">
        <v>97</v>
      </c>
      <c r="D71" s="14" t="s">
        <v>34</v>
      </c>
      <c r="E71" s="5" t="s">
        <v>35</v>
      </c>
      <c r="F71" s="8" t="s">
        <v>125</v>
      </c>
      <c r="G71" s="5" t="s">
        <v>126</v>
      </c>
      <c r="H71" s="9" t="n">
        <v>1</v>
      </c>
      <c r="I71" s="8" t="s">
        <v>36</v>
      </c>
      <c r="J71" s="9" t="n">
        <v>1644</v>
      </c>
      <c r="K71" s="10" t="s">
        <v>21</v>
      </c>
      <c r="L71" s="5"/>
    </row>
    <row r="72" customFormat="false" ht="15" hidden="false" customHeight="false" outlineLevel="0" collapsed="false">
      <c r="A72" s="4" t="n">
        <v>46312</v>
      </c>
      <c r="B72" s="11" t="s">
        <v>114</v>
      </c>
      <c r="C72" s="10" t="s">
        <v>127</v>
      </c>
      <c r="D72" s="7" t="s">
        <v>16</v>
      </c>
      <c r="E72" s="11" t="s">
        <v>38</v>
      </c>
      <c r="F72" s="13" t="s">
        <v>128</v>
      </c>
      <c r="G72" s="11" t="s">
        <v>129</v>
      </c>
      <c r="H72" s="9" t="n">
        <v>1</v>
      </c>
      <c r="I72" s="13" t="s">
        <v>20</v>
      </c>
      <c r="J72" s="9" t="n">
        <v>1739</v>
      </c>
      <c r="K72" s="10" t="s">
        <v>21</v>
      </c>
      <c r="L72" s="11"/>
    </row>
    <row r="73" customFormat="false" ht="15" hidden="false" customHeight="false" outlineLevel="0" collapsed="false">
      <c r="A73" s="4" t="n">
        <v>46312</v>
      </c>
      <c r="B73" s="5" t="s">
        <v>114</v>
      </c>
      <c r="C73" s="6" t="s">
        <v>130</v>
      </c>
      <c r="D73" s="12" t="s">
        <v>23</v>
      </c>
      <c r="E73" s="5" t="s">
        <v>38</v>
      </c>
      <c r="F73" s="8" t="s">
        <v>128</v>
      </c>
      <c r="G73" s="5" t="s">
        <v>129</v>
      </c>
      <c r="H73" s="9" t="n">
        <v>1</v>
      </c>
      <c r="I73" s="8" t="s">
        <v>20</v>
      </c>
      <c r="J73" s="9" t="n">
        <v>0</v>
      </c>
      <c r="K73" s="10" t="s">
        <v>21</v>
      </c>
      <c r="L73" s="5"/>
    </row>
    <row r="74" customFormat="false" ht="15" hidden="false" customHeight="false" outlineLevel="0" collapsed="false">
      <c r="A74" s="4" t="n">
        <v>46313</v>
      </c>
      <c r="B74" s="11" t="s">
        <v>14</v>
      </c>
      <c r="C74" s="10" t="s">
        <v>15</v>
      </c>
      <c r="D74" s="7" t="s">
        <v>16</v>
      </c>
      <c r="E74" s="11" t="s">
        <v>17</v>
      </c>
      <c r="F74" s="13" t="s">
        <v>131</v>
      </c>
      <c r="G74" s="11" t="s">
        <v>132</v>
      </c>
      <c r="H74" s="9" t="n">
        <v>5</v>
      </c>
      <c r="I74" s="13" t="s">
        <v>20</v>
      </c>
      <c r="J74" s="9" t="n">
        <v>1320</v>
      </c>
      <c r="K74" s="10" t="s">
        <v>21</v>
      </c>
      <c r="L74" s="11"/>
    </row>
    <row r="75" customFormat="false" ht="15" hidden="false" customHeight="false" outlineLevel="0" collapsed="false">
      <c r="A75" s="4" t="n">
        <v>46313</v>
      </c>
      <c r="B75" s="5" t="s">
        <v>14</v>
      </c>
      <c r="C75" s="6" t="s">
        <v>22</v>
      </c>
      <c r="D75" s="12" t="s">
        <v>23</v>
      </c>
      <c r="E75" s="5" t="s">
        <v>17</v>
      </c>
      <c r="F75" s="8" t="s">
        <v>131</v>
      </c>
      <c r="G75" s="5" t="s">
        <v>132</v>
      </c>
      <c r="H75" s="9" t="n">
        <v>1</v>
      </c>
      <c r="I75" s="8" t="s">
        <v>20</v>
      </c>
      <c r="J75" s="9" t="n">
        <v>0</v>
      </c>
      <c r="K75" s="10" t="s">
        <v>21</v>
      </c>
      <c r="L75" s="5"/>
    </row>
    <row r="76" customFormat="false" ht="15" hidden="false" customHeight="false" outlineLevel="0" collapsed="false">
      <c r="A76" s="4" t="n">
        <v>46313</v>
      </c>
      <c r="B76" s="11" t="s">
        <v>14</v>
      </c>
      <c r="C76" s="10" t="s">
        <v>22</v>
      </c>
      <c r="D76" s="7" t="s">
        <v>16</v>
      </c>
      <c r="E76" s="11" t="s">
        <v>24</v>
      </c>
      <c r="F76" s="13" t="s">
        <v>133</v>
      </c>
      <c r="G76" s="11" t="s">
        <v>134</v>
      </c>
      <c r="H76" s="9" t="n">
        <v>5</v>
      </c>
      <c r="I76" s="13" t="s">
        <v>20</v>
      </c>
      <c r="J76" s="9" t="n">
        <v>1165</v>
      </c>
      <c r="K76" s="10" t="s">
        <v>21</v>
      </c>
      <c r="L76" s="11"/>
    </row>
    <row r="77" customFormat="false" ht="15" hidden="false" customHeight="false" outlineLevel="0" collapsed="false">
      <c r="A77" s="4" t="n">
        <v>46313</v>
      </c>
      <c r="B77" s="5" t="s">
        <v>14</v>
      </c>
      <c r="C77" s="6" t="s">
        <v>27</v>
      </c>
      <c r="D77" s="12" t="s">
        <v>23</v>
      </c>
      <c r="E77" s="5" t="s">
        <v>24</v>
      </c>
      <c r="F77" s="8" t="s">
        <v>133</v>
      </c>
      <c r="G77" s="5" t="s">
        <v>134</v>
      </c>
      <c r="H77" s="9" t="n">
        <v>1</v>
      </c>
      <c r="I77" s="8" t="s">
        <v>20</v>
      </c>
      <c r="J77" s="9" t="n">
        <v>0</v>
      </c>
      <c r="K77" s="10" t="s">
        <v>21</v>
      </c>
      <c r="L77" s="5"/>
    </row>
    <row r="78" customFormat="false" ht="15" hidden="false" customHeight="false" outlineLevel="0" collapsed="false">
      <c r="A78" s="4" t="n">
        <v>46313</v>
      </c>
      <c r="B78" s="11" t="s">
        <v>14</v>
      </c>
      <c r="C78" s="10" t="s">
        <v>28</v>
      </c>
      <c r="D78" s="7" t="s">
        <v>16</v>
      </c>
      <c r="E78" s="11" t="s">
        <v>29</v>
      </c>
      <c r="F78" s="13" t="s">
        <v>135</v>
      </c>
      <c r="G78" s="11" t="s">
        <v>136</v>
      </c>
      <c r="H78" s="9" t="n">
        <v>5</v>
      </c>
      <c r="I78" s="13" t="s">
        <v>20</v>
      </c>
      <c r="J78" s="9" t="n">
        <v>1127</v>
      </c>
      <c r="K78" s="10" t="s">
        <v>21</v>
      </c>
      <c r="L78" s="11"/>
    </row>
    <row r="79" customFormat="false" ht="15" hidden="false" customHeight="false" outlineLevel="0" collapsed="false">
      <c r="A79" s="4" t="n">
        <v>46313</v>
      </c>
      <c r="B79" s="5" t="s">
        <v>14</v>
      </c>
      <c r="C79" s="6" t="s">
        <v>32</v>
      </c>
      <c r="D79" s="12" t="s">
        <v>23</v>
      </c>
      <c r="E79" s="5" t="s">
        <v>29</v>
      </c>
      <c r="F79" s="8" t="s">
        <v>135</v>
      </c>
      <c r="G79" s="5" t="s">
        <v>136</v>
      </c>
      <c r="H79" s="9" t="n">
        <v>1</v>
      </c>
      <c r="I79" s="8" t="s">
        <v>20</v>
      </c>
      <c r="J79" s="9" t="n">
        <v>0</v>
      </c>
      <c r="K79" s="10" t="s">
        <v>21</v>
      </c>
      <c r="L79" s="5"/>
    </row>
    <row r="80" customFormat="false" ht="15" hidden="false" customHeight="false" outlineLevel="0" collapsed="false">
      <c r="A80" s="4" t="n">
        <v>46313</v>
      </c>
      <c r="B80" s="11" t="s">
        <v>14</v>
      </c>
      <c r="C80" s="10" t="s">
        <v>33</v>
      </c>
      <c r="D80" s="14" t="s">
        <v>34</v>
      </c>
      <c r="E80" s="11" t="s">
        <v>35</v>
      </c>
      <c r="F80" s="13" t="s">
        <v>135</v>
      </c>
      <c r="G80" s="11" t="s">
        <v>136</v>
      </c>
      <c r="H80" s="9" t="n">
        <v>1</v>
      </c>
      <c r="I80" s="13" t="s">
        <v>36</v>
      </c>
      <c r="J80" s="9" t="n">
        <v>1127</v>
      </c>
      <c r="K80" s="10" t="s">
        <v>21</v>
      </c>
      <c r="L80" s="11"/>
    </row>
    <row r="81" customFormat="false" ht="15" hidden="false" customHeight="false" outlineLevel="0" collapsed="false">
      <c r="A81" s="4" t="n">
        <v>46313</v>
      </c>
      <c r="B81" s="5" t="s">
        <v>14</v>
      </c>
      <c r="C81" s="6" t="s">
        <v>37</v>
      </c>
      <c r="D81" s="7" t="s">
        <v>16</v>
      </c>
      <c r="E81" s="5" t="s">
        <v>38</v>
      </c>
      <c r="F81" s="8" t="s">
        <v>137</v>
      </c>
      <c r="G81" s="5" t="s">
        <v>138</v>
      </c>
      <c r="H81" s="9" t="n">
        <v>5</v>
      </c>
      <c r="I81" s="8" t="s">
        <v>20</v>
      </c>
      <c r="J81" s="9" t="n">
        <v>1017</v>
      </c>
      <c r="K81" s="10" t="s">
        <v>21</v>
      </c>
      <c r="L81" s="5"/>
    </row>
    <row r="82" customFormat="false" ht="15" hidden="false" customHeight="false" outlineLevel="0" collapsed="false">
      <c r="A82" s="4" t="n">
        <v>46313</v>
      </c>
      <c r="B82" s="11" t="s">
        <v>14</v>
      </c>
      <c r="C82" s="10" t="s">
        <v>41</v>
      </c>
      <c r="D82" s="12" t="s">
        <v>23</v>
      </c>
      <c r="E82" s="11" t="s">
        <v>38</v>
      </c>
      <c r="F82" s="13" t="s">
        <v>137</v>
      </c>
      <c r="G82" s="11" t="s">
        <v>138</v>
      </c>
      <c r="H82" s="9" t="n">
        <v>1</v>
      </c>
      <c r="I82" s="13" t="s">
        <v>20</v>
      </c>
      <c r="J82" s="9" t="n">
        <v>0</v>
      </c>
      <c r="K82" s="10" t="s">
        <v>21</v>
      </c>
      <c r="L82" s="11"/>
    </row>
    <row r="83" customFormat="false" ht="15" hidden="false" customHeight="false" outlineLevel="0" collapsed="false">
      <c r="A83" s="4" t="n">
        <v>46314</v>
      </c>
      <c r="B83" s="5" t="s">
        <v>42</v>
      </c>
      <c r="C83" s="6" t="s">
        <v>47</v>
      </c>
      <c r="D83" s="7" t="s">
        <v>16</v>
      </c>
      <c r="E83" s="5" t="s">
        <v>24</v>
      </c>
      <c r="F83" s="8" t="s">
        <v>139</v>
      </c>
      <c r="G83" s="5" t="s">
        <v>140</v>
      </c>
      <c r="H83" s="9" t="n">
        <v>4</v>
      </c>
      <c r="I83" s="8" t="s">
        <v>20</v>
      </c>
      <c r="J83" s="9" t="n">
        <v>1007</v>
      </c>
      <c r="K83" s="10" t="s">
        <v>21</v>
      </c>
      <c r="L83" s="5"/>
    </row>
    <row r="84" customFormat="false" ht="15" hidden="false" customHeight="false" outlineLevel="0" collapsed="false">
      <c r="A84" s="4" t="n">
        <v>46314</v>
      </c>
      <c r="B84" s="11" t="s">
        <v>42</v>
      </c>
      <c r="C84" s="10" t="s">
        <v>50</v>
      </c>
      <c r="D84" s="12" t="s">
        <v>23</v>
      </c>
      <c r="E84" s="11" t="s">
        <v>24</v>
      </c>
      <c r="F84" s="13" t="s">
        <v>139</v>
      </c>
      <c r="G84" s="11" t="s">
        <v>140</v>
      </c>
      <c r="H84" s="9" t="n">
        <v>1</v>
      </c>
      <c r="I84" s="13" t="s">
        <v>20</v>
      </c>
      <c r="J84" s="9" t="n">
        <v>0</v>
      </c>
      <c r="K84" s="10" t="s">
        <v>21</v>
      </c>
      <c r="L84" s="11"/>
    </row>
    <row r="85" customFormat="false" ht="15" hidden="false" customHeight="false" outlineLevel="0" collapsed="false">
      <c r="A85" s="4" t="n">
        <v>46315</v>
      </c>
      <c r="B85" s="5" t="s">
        <v>65</v>
      </c>
      <c r="C85" s="6" t="s">
        <v>43</v>
      </c>
      <c r="D85" s="7" t="s">
        <v>16</v>
      </c>
      <c r="E85" s="5" t="s">
        <v>17</v>
      </c>
      <c r="F85" s="8" t="s">
        <v>125</v>
      </c>
      <c r="G85" s="5" t="s">
        <v>126</v>
      </c>
      <c r="H85" s="9" t="n">
        <v>1</v>
      </c>
      <c r="I85" s="8" t="s">
        <v>20</v>
      </c>
      <c r="J85" s="9" t="n">
        <v>1644</v>
      </c>
      <c r="K85" s="10" t="s">
        <v>21</v>
      </c>
      <c r="L85" s="5"/>
    </row>
    <row r="86" customFormat="false" ht="15" hidden="false" customHeight="false" outlineLevel="0" collapsed="false">
      <c r="A86" s="4" t="n">
        <v>46315</v>
      </c>
      <c r="B86" s="11" t="s">
        <v>65</v>
      </c>
      <c r="C86" s="10" t="s">
        <v>46</v>
      </c>
      <c r="D86" s="12" t="s">
        <v>23</v>
      </c>
      <c r="E86" s="11" t="s">
        <v>17</v>
      </c>
      <c r="F86" s="13" t="s">
        <v>125</v>
      </c>
      <c r="G86" s="11" t="s">
        <v>126</v>
      </c>
      <c r="H86" s="9" t="n">
        <v>1</v>
      </c>
      <c r="I86" s="13" t="s">
        <v>20</v>
      </c>
      <c r="J86" s="9" t="n">
        <v>0</v>
      </c>
      <c r="K86" s="10" t="s">
        <v>21</v>
      </c>
      <c r="L86" s="11"/>
    </row>
  </sheetData>
  <autoFilter ref="A4:L86"/>
  <mergeCells count="1">
    <mergeCell ref="A2:L2"/>
  </mergeCells>
  <conditionalFormatting sqref="K5:K86">
    <cfRule type="cellIs" priority="2" operator="equal" aboveAverage="0" equalAverage="0" bottom="0" percent="0" rank="0" text="" dxfId="8">
      <formula>"Yayınlandı"</formula>
    </cfRule>
    <cfRule type="cellIs" priority="3" operator="equal" aboveAverage="0" equalAverage="0" bottom="0" percent="0" rank="0" text="" dxfId="9">
      <formula>"Atlandı"</formula>
    </cfRule>
  </conditionalFormatting>
  <dataValidations count="1">
    <dataValidation allowBlank="false" error="Listeden seç: Bekliyor, Yayınlandı, Atlandı" errorStyle="stop" operator="between" showDropDown="false" showErrorMessage="false" showInputMessage="false" sqref="K5:K86" type="list">
      <formula1>"Bekliyor,Yayınlandı,Atlandı"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3"/>
  </cols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16" t="s">
        <v>142</v>
      </c>
    </row>
    <row r="4" customFormat="false" ht="15" hidden="false" customHeight="false" outlineLevel="0" collapsed="false">
      <c r="A4" s="17" t="s">
        <v>143</v>
      </c>
    </row>
    <row r="5" customFormat="false" ht="15" hidden="false" customHeight="false" outlineLevel="0" collapsed="false">
      <c r="A5" s="18" t="s">
        <v>5</v>
      </c>
      <c r="B5" s="18" t="s">
        <v>144</v>
      </c>
      <c r="C5" s="18" t="s">
        <v>145</v>
      </c>
      <c r="D5" s="18" t="s">
        <v>146</v>
      </c>
      <c r="E5" s="18" t="s">
        <v>147</v>
      </c>
    </row>
    <row r="6" customFormat="false" ht="15" hidden="false" customHeight="false" outlineLevel="0" collapsed="false">
      <c r="A6" s="19" t="s">
        <v>16</v>
      </c>
      <c r="B6" s="20" t="n">
        <f aca="false">COUNTIF(Plan!$D$5:$D$86,A6)</f>
        <v>34</v>
      </c>
      <c r="C6" s="20" t="n">
        <f aca="false">COUNTIFS(Plan!$D$5:$D$86,A6,Plan!$K$5:$K$86,"Yayınlandı")</f>
        <v>0</v>
      </c>
      <c r="D6" s="20" t="n">
        <f aca="false">B6-C6</f>
        <v>34</v>
      </c>
      <c r="E6" s="21" t="n">
        <f aca="false">IF(B6=0,0,C6/B6)</f>
        <v>0</v>
      </c>
    </row>
    <row r="7" customFormat="false" ht="15" hidden="false" customHeight="false" outlineLevel="0" collapsed="false">
      <c r="A7" s="22" t="s">
        <v>23</v>
      </c>
      <c r="B7" s="20" t="n">
        <f aca="false">COUNTIF(Plan!$D$5:$D$86,A7)</f>
        <v>38</v>
      </c>
      <c r="C7" s="20" t="n">
        <f aca="false">COUNTIFS(Plan!$D$5:$D$86,A7,Plan!$K$5:$K$86,"Yayınlandı")</f>
        <v>0</v>
      </c>
      <c r="D7" s="20" t="n">
        <f aca="false">B7-C7</f>
        <v>38</v>
      </c>
      <c r="E7" s="21" t="n">
        <f aca="false">IF(B7=0,0,C7/B7)</f>
        <v>0</v>
      </c>
    </row>
    <row r="8" customFormat="false" ht="15" hidden="false" customHeight="false" outlineLevel="0" collapsed="false">
      <c r="A8" s="23" t="s">
        <v>34</v>
      </c>
      <c r="B8" s="20" t="n">
        <f aca="false">COUNTIF(Plan!$D$5:$D$86,A8)</f>
        <v>8</v>
      </c>
      <c r="C8" s="20" t="n">
        <f aca="false">COUNTIFS(Plan!$D$5:$D$86,A8,Plan!$K$5:$K$86,"Yayınlandı")</f>
        <v>0</v>
      </c>
      <c r="D8" s="20" t="n">
        <f aca="false">B8-C8</f>
        <v>8</v>
      </c>
      <c r="E8" s="21" t="n">
        <f aca="false">IF(B8=0,0,C8/B8)</f>
        <v>0</v>
      </c>
    </row>
    <row r="9" customFormat="false" ht="15" hidden="false" customHeight="false" outlineLevel="0" collapsed="false">
      <c r="A9" s="24" t="s">
        <v>52</v>
      </c>
      <c r="B9" s="20" t="n">
        <f aca="false">COUNTIF(Plan!$D$5:$D$86,A9)</f>
        <v>2</v>
      </c>
      <c r="C9" s="20" t="n">
        <f aca="false">COUNTIFS(Plan!$D$5:$D$86,A9,Plan!$K$5:$K$86,"Yayınlandı")</f>
        <v>0</v>
      </c>
      <c r="D9" s="20" t="n">
        <f aca="false">B9-C9</f>
        <v>2</v>
      </c>
      <c r="E9" s="21" t="n">
        <f aca="false">IF(B9=0,0,C9/B9)</f>
        <v>0</v>
      </c>
    </row>
    <row r="10" customFormat="false" ht="15" hidden="false" customHeight="false" outlineLevel="0" collapsed="false">
      <c r="A10" s="25" t="s">
        <v>148</v>
      </c>
      <c r="B10" s="26" t="n">
        <f aca="false">SUM(B6:B9)</f>
        <v>82</v>
      </c>
      <c r="C10" s="26" t="n">
        <f aca="false">SUM(C6:C9)</f>
        <v>0</v>
      </c>
      <c r="D10" s="26" t="n">
        <f aca="false">SUM(D6:D9)</f>
        <v>82</v>
      </c>
      <c r="E10" s="27" t="n">
        <f aca="false">IF(B10=0,0,C10/B10)</f>
        <v>0</v>
      </c>
    </row>
    <row r="13" customFormat="false" ht="15" hidden="false" customHeight="false" outlineLevel="0" collapsed="false">
      <c r="A13" s="17" t="s">
        <v>149</v>
      </c>
    </row>
    <row r="14" customFormat="false" ht="15" hidden="false" customHeight="false" outlineLevel="0" collapsed="false">
      <c r="A14" s="18" t="s">
        <v>2</v>
      </c>
      <c r="B14" s="18" t="s">
        <v>3</v>
      </c>
      <c r="C14" s="18" t="s">
        <v>150</v>
      </c>
      <c r="D14" s="18" t="s">
        <v>151</v>
      </c>
      <c r="E14" s="18" t="s">
        <v>152</v>
      </c>
      <c r="F14" s="18" t="s">
        <v>153</v>
      </c>
      <c r="G14" s="18" t="s">
        <v>154</v>
      </c>
      <c r="H14" s="18" t="s">
        <v>145</v>
      </c>
      <c r="I14" s="18" t="s">
        <v>147</v>
      </c>
    </row>
    <row r="15" customFormat="false" ht="15" hidden="false" customHeight="false" outlineLevel="0" collapsed="false">
      <c r="A15" s="28" t="n">
        <v>46306</v>
      </c>
      <c r="B15" s="20" t="s">
        <v>14</v>
      </c>
      <c r="C15" s="20" t="n">
        <f aca="false">COUNTIFS(Plan!$A$5:$A$86,$A15,Plan!$D$5:$D$86,"GÖNDERİ")</f>
        <v>4</v>
      </c>
      <c r="D15" s="20" t="n">
        <f aca="false">COUNTIFS(Plan!$A$5:$A$86,$A15,Plan!$D$5:$D$86,"HİKAYE")</f>
        <v>4</v>
      </c>
      <c r="E15" s="20" t="n">
        <f aca="false">COUNTIFS(Plan!$A$5:$A$86,$A15,Plan!$D$5:$D$86,"REELS")</f>
        <v>1</v>
      </c>
      <c r="F15" s="20" t="n">
        <f aca="false">COUNTIFS(Plan!$A$5:$A$86,$A15,Plan!$D$5:$D$86,"KAMPANYA")</f>
        <v>0</v>
      </c>
      <c r="G15" s="20" t="n">
        <f aca="false">SUM(C15:F15)</f>
        <v>9</v>
      </c>
      <c r="H15" s="20" t="n">
        <f aca="false">COUNTIFS(Plan!$A$5:$A$86,$A15,Plan!$K$5:$K$86,"Yayınlandı")</f>
        <v>0</v>
      </c>
      <c r="I15" s="21" t="n">
        <f aca="false">IF(G15=0,0,H15/G15)</f>
        <v>0</v>
      </c>
    </row>
    <row r="16" customFormat="false" ht="15" hidden="false" customHeight="false" outlineLevel="0" collapsed="false">
      <c r="A16" s="28" t="n">
        <v>46307</v>
      </c>
      <c r="B16" s="20" t="s">
        <v>42</v>
      </c>
      <c r="C16" s="20" t="n">
        <f aca="false">COUNTIFS(Plan!$A$5:$A$86,$A16,Plan!$D$5:$D$86,"GÖNDERİ")</f>
        <v>4</v>
      </c>
      <c r="D16" s="20" t="n">
        <f aca="false">COUNTIFS(Plan!$A$5:$A$86,$A16,Plan!$D$5:$D$86,"HİKAYE")</f>
        <v>5</v>
      </c>
      <c r="E16" s="20" t="n">
        <f aca="false">COUNTIFS(Plan!$A$5:$A$86,$A16,Plan!$D$5:$D$86,"REELS")</f>
        <v>1</v>
      </c>
      <c r="F16" s="20" t="n">
        <f aca="false">COUNTIFS(Plan!$A$5:$A$86,$A16,Plan!$D$5:$D$86,"KAMPANYA")</f>
        <v>1</v>
      </c>
      <c r="G16" s="20" t="n">
        <f aca="false">SUM(C16:F16)</f>
        <v>11</v>
      </c>
      <c r="H16" s="20" t="n">
        <f aca="false">COUNTIFS(Plan!$A$5:$A$86,$A16,Plan!$K$5:$K$86,"Yayınlandı")</f>
        <v>0</v>
      </c>
      <c r="I16" s="21" t="n">
        <f aca="false">IF(G16=0,0,H16/G16)</f>
        <v>0</v>
      </c>
    </row>
    <row r="17" customFormat="false" ht="15" hidden="false" customHeight="false" outlineLevel="0" collapsed="false">
      <c r="A17" s="28" t="n">
        <v>46308</v>
      </c>
      <c r="B17" s="20" t="s">
        <v>65</v>
      </c>
      <c r="C17" s="20" t="n">
        <f aca="false">COUNTIFS(Plan!$A$5:$A$86,$A17,Plan!$D$5:$D$86,"GÖNDERİ")</f>
        <v>4</v>
      </c>
      <c r="D17" s="20" t="n">
        <f aca="false">COUNTIFS(Plan!$A$5:$A$86,$A17,Plan!$D$5:$D$86,"HİKAYE")</f>
        <v>5</v>
      </c>
      <c r="E17" s="20" t="n">
        <f aca="false">COUNTIFS(Plan!$A$5:$A$86,$A17,Plan!$D$5:$D$86,"REELS")</f>
        <v>1</v>
      </c>
      <c r="F17" s="20" t="n">
        <f aca="false">COUNTIFS(Plan!$A$5:$A$86,$A17,Plan!$D$5:$D$86,"KAMPANYA")</f>
        <v>0</v>
      </c>
      <c r="G17" s="20" t="n">
        <f aca="false">SUM(C17:F17)</f>
        <v>10</v>
      </c>
      <c r="H17" s="20" t="n">
        <f aca="false">COUNTIFS(Plan!$A$5:$A$86,$A17,Plan!$K$5:$K$86,"Yayınlandı")</f>
        <v>0</v>
      </c>
      <c r="I17" s="21" t="n">
        <f aca="false">IF(G17=0,0,H17/G17)</f>
        <v>0</v>
      </c>
    </row>
    <row r="18" customFormat="false" ht="15" hidden="false" customHeight="false" outlineLevel="0" collapsed="false">
      <c r="A18" s="28" t="n">
        <v>46309</v>
      </c>
      <c r="B18" s="20" t="s">
        <v>78</v>
      </c>
      <c r="C18" s="20" t="n">
        <f aca="false">COUNTIFS(Plan!$A$5:$A$86,$A18,Plan!$D$5:$D$86,"GÖNDERİ")</f>
        <v>4</v>
      </c>
      <c r="D18" s="20" t="n">
        <f aca="false">COUNTIFS(Plan!$A$5:$A$86,$A18,Plan!$D$5:$D$86,"HİKAYE")</f>
        <v>5</v>
      </c>
      <c r="E18" s="20" t="n">
        <f aca="false">COUNTIFS(Plan!$A$5:$A$86,$A18,Plan!$D$5:$D$86,"REELS")</f>
        <v>1</v>
      </c>
      <c r="F18" s="20" t="n">
        <f aca="false">COUNTIFS(Plan!$A$5:$A$86,$A18,Plan!$D$5:$D$86,"KAMPANYA")</f>
        <v>0</v>
      </c>
      <c r="G18" s="20" t="n">
        <f aca="false">SUM(C18:F18)</f>
        <v>10</v>
      </c>
      <c r="H18" s="20" t="n">
        <f aca="false">COUNTIFS(Plan!$A$5:$A$86,$A18,Plan!$K$5:$K$86,"Yayınlandı")</f>
        <v>0</v>
      </c>
      <c r="I18" s="21" t="n">
        <f aca="false">IF(G18=0,0,H18/G18)</f>
        <v>0</v>
      </c>
    </row>
    <row r="19" customFormat="false" ht="15" hidden="false" customHeight="false" outlineLevel="0" collapsed="false">
      <c r="A19" s="28" t="n">
        <v>46310</v>
      </c>
      <c r="B19" s="20" t="s">
        <v>87</v>
      </c>
      <c r="C19" s="20" t="n">
        <f aca="false">COUNTIFS(Plan!$A$5:$A$86,$A19,Plan!$D$5:$D$86,"GÖNDERİ")</f>
        <v>4</v>
      </c>
      <c r="D19" s="20" t="n">
        <f aca="false">COUNTIFS(Plan!$A$5:$A$86,$A19,Plan!$D$5:$D$86,"HİKAYE")</f>
        <v>5</v>
      </c>
      <c r="E19" s="20" t="n">
        <f aca="false">COUNTIFS(Plan!$A$5:$A$86,$A19,Plan!$D$5:$D$86,"REELS")</f>
        <v>1</v>
      </c>
      <c r="F19" s="20" t="n">
        <f aca="false">COUNTIFS(Plan!$A$5:$A$86,$A19,Plan!$D$5:$D$86,"KAMPANYA")</f>
        <v>1</v>
      </c>
      <c r="G19" s="20" t="n">
        <f aca="false">SUM(C19:F19)</f>
        <v>11</v>
      </c>
      <c r="H19" s="20" t="n">
        <f aca="false">COUNTIFS(Plan!$A$5:$A$86,$A19,Plan!$K$5:$K$86,"Yayınlandı")</f>
        <v>0</v>
      </c>
      <c r="I19" s="21" t="n">
        <f aca="false">IF(G19=0,0,H19/G19)</f>
        <v>0</v>
      </c>
    </row>
    <row r="20" customFormat="false" ht="15" hidden="false" customHeight="false" outlineLevel="0" collapsed="false">
      <c r="A20" s="28" t="n">
        <v>46311</v>
      </c>
      <c r="B20" s="20" t="s">
        <v>100</v>
      </c>
      <c r="C20" s="20" t="n">
        <f aca="false">COUNTIFS(Plan!$A$5:$A$86,$A20,Plan!$D$5:$D$86,"GÖNDERİ")</f>
        <v>4</v>
      </c>
      <c r="D20" s="20" t="n">
        <f aca="false">COUNTIFS(Plan!$A$5:$A$86,$A20,Plan!$D$5:$D$86,"HİKAYE")</f>
        <v>4</v>
      </c>
      <c r="E20" s="20" t="n">
        <f aca="false">COUNTIFS(Plan!$A$5:$A$86,$A20,Plan!$D$5:$D$86,"REELS")</f>
        <v>1</v>
      </c>
      <c r="F20" s="20" t="n">
        <f aca="false">COUNTIFS(Plan!$A$5:$A$86,$A20,Plan!$D$5:$D$86,"KAMPANYA")</f>
        <v>0</v>
      </c>
      <c r="G20" s="20" t="n">
        <f aca="false">SUM(C20:F20)</f>
        <v>9</v>
      </c>
      <c r="H20" s="20" t="n">
        <f aca="false">COUNTIFS(Plan!$A$5:$A$86,$A20,Plan!$K$5:$K$86,"Yayınlandı")</f>
        <v>0</v>
      </c>
      <c r="I20" s="21" t="n">
        <f aca="false">IF(G20=0,0,H20/G20)</f>
        <v>0</v>
      </c>
    </row>
    <row r="21" customFormat="false" ht="15" hidden="false" customHeight="false" outlineLevel="0" collapsed="false">
      <c r="A21" s="28" t="n">
        <v>46312</v>
      </c>
      <c r="B21" s="20" t="s">
        <v>114</v>
      </c>
      <c r="C21" s="20" t="n">
        <f aca="false">COUNTIFS(Plan!$A$5:$A$86,$A21,Plan!$D$5:$D$86,"GÖNDERİ")</f>
        <v>4</v>
      </c>
      <c r="D21" s="20" t="n">
        <f aca="false">COUNTIFS(Plan!$A$5:$A$86,$A21,Plan!$D$5:$D$86,"HİKAYE")</f>
        <v>4</v>
      </c>
      <c r="E21" s="20" t="n">
        <f aca="false">COUNTIFS(Plan!$A$5:$A$86,$A21,Plan!$D$5:$D$86,"REELS")</f>
        <v>1</v>
      </c>
      <c r="F21" s="20" t="n">
        <f aca="false">COUNTIFS(Plan!$A$5:$A$86,$A21,Plan!$D$5:$D$86,"KAMPANYA")</f>
        <v>0</v>
      </c>
      <c r="G21" s="20" t="n">
        <f aca="false">SUM(C21:F21)</f>
        <v>9</v>
      </c>
      <c r="H21" s="20" t="n">
        <f aca="false">COUNTIFS(Plan!$A$5:$A$86,$A21,Plan!$K$5:$K$86,"Yayınlandı")</f>
        <v>0</v>
      </c>
      <c r="I21" s="21" t="n">
        <f aca="false">IF(G21=0,0,H21/G21)</f>
        <v>0</v>
      </c>
    </row>
    <row r="22" customFormat="false" ht="15" hidden="false" customHeight="false" outlineLevel="0" collapsed="false">
      <c r="A22" s="28" t="n">
        <v>46313</v>
      </c>
      <c r="B22" s="20" t="s">
        <v>14</v>
      </c>
      <c r="C22" s="20" t="n">
        <f aca="false">COUNTIFS(Plan!$A$5:$A$86,$A22,Plan!$D$5:$D$86,"GÖNDERİ")</f>
        <v>4</v>
      </c>
      <c r="D22" s="20" t="n">
        <f aca="false">COUNTIFS(Plan!$A$5:$A$86,$A22,Plan!$D$5:$D$86,"HİKAYE")</f>
        <v>4</v>
      </c>
      <c r="E22" s="20" t="n">
        <f aca="false">COUNTIFS(Plan!$A$5:$A$86,$A22,Plan!$D$5:$D$86,"REELS")</f>
        <v>1</v>
      </c>
      <c r="F22" s="20" t="n">
        <f aca="false">COUNTIFS(Plan!$A$5:$A$86,$A22,Plan!$D$5:$D$86,"KAMPANYA")</f>
        <v>0</v>
      </c>
      <c r="G22" s="20" t="n">
        <f aca="false">SUM(C22:F22)</f>
        <v>9</v>
      </c>
      <c r="H22" s="20" t="n">
        <f aca="false">COUNTIFS(Plan!$A$5:$A$86,$A22,Plan!$K$5:$K$86,"Yayınlandı")</f>
        <v>0</v>
      </c>
      <c r="I22" s="21" t="n">
        <f aca="false">IF(G22=0,0,H22/G22)</f>
        <v>0</v>
      </c>
    </row>
    <row r="23" customFormat="false" ht="15" hidden="false" customHeight="false" outlineLevel="0" collapsed="false">
      <c r="A23" s="28" t="n">
        <v>46314</v>
      </c>
      <c r="B23" s="20" t="s">
        <v>42</v>
      </c>
      <c r="C23" s="20" t="n">
        <f aca="false">COUNTIFS(Plan!$A$5:$A$86,$A23,Plan!$D$5:$D$86,"GÖNDERİ")</f>
        <v>1</v>
      </c>
      <c r="D23" s="20" t="n">
        <f aca="false">COUNTIFS(Plan!$A$5:$A$86,$A23,Plan!$D$5:$D$86,"HİKAYE")</f>
        <v>1</v>
      </c>
      <c r="E23" s="20" t="n">
        <f aca="false">COUNTIFS(Plan!$A$5:$A$86,$A23,Plan!$D$5:$D$86,"REELS")</f>
        <v>0</v>
      </c>
      <c r="F23" s="20" t="n">
        <f aca="false">COUNTIFS(Plan!$A$5:$A$86,$A23,Plan!$D$5:$D$86,"KAMPANYA")</f>
        <v>0</v>
      </c>
      <c r="G23" s="20" t="n">
        <f aca="false">SUM(C23:F23)</f>
        <v>2</v>
      </c>
      <c r="H23" s="20" t="n">
        <f aca="false">COUNTIFS(Plan!$A$5:$A$86,$A23,Plan!$K$5:$K$86,"Yayınlandı")</f>
        <v>0</v>
      </c>
      <c r="I23" s="21" t="n">
        <f aca="false">IF(G23=0,0,H23/G23)</f>
        <v>0</v>
      </c>
    </row>
    <row r="24" customFormat="false" ht="15" hidden="false" customHeight="false" outlineLevel="0" collapsed="false">
      <c r="A24" s="28" t="n">
        <v>46315</v>
      </c>
      <c r="B24" s="20" t="s">
        <v>65</v>
      </c>
      <c r="C24" s="20" t="n">
        <f aca="false">COUNTIFS(Plan!$A$5:$A$86,$A24,Plan!$D$5:$D$86,"GÖNDERİ")</f>
        <v>1</v>
      </c>
      <c r="D24" s="20" t="n">
        <f aca="false">COUNTIFS(Plan!$A$5:$A$86,$A24,Plan!$D$5:$D$86,"HİKAYE")</f>
        <v>1</v>
      </c>
      <c r="E24" s="20" t="n">
        <f aca="false">COUNTIFS(Plan!$A$5:$A$86,$A24,Plan!$D$5:$D$86,"REELS")</f>
        <v>0</v>
      </c>
      <c r="F24" s="20" t="n">
        <f aca="false">COUNTIFS(Plan!$A$5:$A$86,$A24,Plan!$D$5:$D$86,"KAMPANYA")</f>
        <v>0</v>
      </c>
      <c r="G24" s="20" t="n">
        <f aca="false">SUM(C24:F24)</f>
        <v>2</v>
      </c>
      <c r="H24" s="20" t="n">
        <f aca="false">COUNTIFS(Plan!$A$5:$A$86,$A24,Plan!$K$5:$K$86,"Yayınlandı")</f>
        <v>0</v>
      </c>
      <c r="I24" s="21" t="n">
        <f aca="false">IF(G24=0,0,H24/G24)</f>
        <v>0</v>
      </c>
    </row>
    <row r="25" customFormat="false" ht="15" hidden="false" customHeight="false" outlineLevel="0" collapsed="false">
      <c r="A25" s="25" t="s">
        <v>148</v>
      </c>
      <c r="C25" s="26" t="n">
        <f aca="false">SUM(C15:C24)</f>
        <v>34</v>
      </c>
      <c r="D25" s="26" t="n">
        <f aca="false">SUM(D15:D24)</f>
        <v>38</v>
      </c>
      <c r="E25" s="26" t="n">
        <f aca="false">SUM(E15:E24)</f>
        <v>8</v>
      </c>
      <c r="F25" s="26" t="n">
        <f aca="false">SUM(F15:F24)</f>
        <v>2</v>
      </c>
      <c r="G25" s="26" t="n">
        <f aca="false">SUM(G15:G24)</f>
        <v>82</v>
      </c>
      <c r="H25" s="26" t="n">
        <f aca="false">SUM(H15:H24)</f>
        <v>0</v>
      </c>
      <c r="I25" s="27" t="n">
        <f aca="false">IF(G25=0,0,H25/G25)</f>
        <v>0</v>
      </c>
    </row>
    <row r="28" customFormat="false" ht="15" hidden="false" customHeight="false" outlineLevel="0" collapsed="false">
      <c r="A28" s="17" t="s">
        <v>155</v>
      </c>
    </row>
    <row r="29" customFormat="false" ht="15" hidden="false" customHeight="false" outlineLevel="0" collapsed="false">
      <c r="A29" s="18" t="s">
        <v>6</v>
      </c>
      <c r="B29" s="18" t="s">
        <v>144</v>
      </c>
      <c r="C29" s="18" t="s">
        <v>145</v>
      </c>
      <c r="D29" s="18" t="s">
        <v>156</v>
      </c>
    </row>
    <row r="30" customFormat="false" ht="15" hidden="false" customHeight="false" outlineLevel="0" collapsed="false">
      <c r="A30" s="29" t="s">
        <v>17</v>
      </c>
      <c r="B30" s="20" t="n">
        <f aca="false">COUNTIF(Plan!$E$5:$E$86,A30)</f>
        <v>18</v>
      </c>
      <c r="C30" s="20" t="n">
        <f aca="false">COUNTIFS(Plan!$E$5:$E$86,A30,Plan!$K$5:$K$86,"Yayınlandı")</f>
        <v>0</v>
      </c>
      <c r="D30" s="20" t="n">
        <f aca="false">IFERROR(ROUND(SUMIFS(Plan!$J$5:$J$86,Plan!$E$5:$E$86,A30,Plan!$D$5:$D$86,"GÖNDERİ")/COUNTIFS(Plan!$E$5:$E$86,A30,Plan!$D$5:$D$86,"GÖNDERİ"),0),0)</f>
        <v>1420</v>
      </c>
    </row>
    <row r="31" customFormat="false" ht="15" hidden="false" customHeight="false" outlineLevel="0" collapsed="false">
      <c r="A31" s="29" t="s">
        <v>24</v>
      </c>
      <c r="B31" s="20" t="n">
        <f aca="false">COUNTIF(Plan!$E$5:$E$86,A31)</f>
        <v>18</v>
      </c>
      <c r="C31" s="20" t="n">
        <f aca="false">COUNTIFS(Plan!$E$5:$E$86,A31,Plan!$K$5:$K$86,"Yayınlandı")</f>
        <v>0</v>
      </c>
      <c r="D31" s="20" t="n">
        <f aca="false">IFERROR(ROUND(SUMIFS(Plan!$J$5:$J$86,Plan!$E$5:$E$86,A31,Plan!$D$5:$D$86,"GÖNDERİ")/COUNTIFS(Plan!$E$5:$E$86,A31,Plan!$D$5:$D$86,"GÖNDERİ"),0),0)</f>
        <v>1325</v>
      </c>
    </row>
    <row r="32" customFormat="false" ht="15" hidden="false" customHeight="false" outlineLevel="0" collapsed="false">
      <c r="A32" s="29" t="s">
        <v>29</v>
      </c>
      <c r="B32" s="20" t="n">
        <f aca="false">COUNTIF(Plan!$E$5:$E$86,A32)</f>
        <v>16</v>
      </c>
      <c r="C32" s="20" t="n">
        <f aca="false">COUNTIFS(Plan!$E$5:$E$86,A32,Plan!$K$5:$K$86,"Yayınlandı")</f>
        <v>0</v>
      </c>
      <c r="D32" s="20" t="n">
        <f aca="false">IFERROR(ROUND(SUMIFS(Plan!$J$5:$J$86,Plan!$E$5:$E$86,A32,Plan!$D$5:$D$86,"GÖNDERİ")/COUNTIFS(Plan!$E$5:$E$86,A32,Plan!$D$5:$D$86,"GÖNDERİ"),0),0)</f>
        <v>1508</v>
      </c>
    </row>
    <row r="33" customFormat="false" ht="15" hidden="false" customHeight="false" outlineLevel="0" collapsed="false">
      <c r="A33" s="29" t="s">
        <v>38</v>
      </c>
      <c r="B33" s="20" t="n">
        <f aca="false">COUNTIF(Plan!$E$5:$E$86,A33)</f>
        <v>16</v>
      </c>
      <c r="C33" s="20" t="n">
        <f aca="false">COUNTIFS(Plan!$E$5:$E$86,A33,Plan!$K$5:$K$86,"Yayınlandı")</f>
        <v>0</v>
      </c>
      <c r="D33" s="20" t="n">
        <f aca="false">IFERROR(ROUND(SUMIFS(Plan!$J$5:$J$86,Plan!$E$5:$E$86,A33,Plan!$D$5:$D$86,"GÖNDERİ")/COUNTIFS(Plan!$E$5:$E$86,A33,Plan!$D$5:$D$86,"GÖNDERİ"),0),0)</f>
        <v>1286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2026-10-12T20:45:17Z</dcterms:created>
  <dc:creator>openpyxl</dc:creator>
  <dc:description/>
  <dc:language>en-US</dc:language>
  <cp:lastModifiedBy/>
  <dcterms:modified xsi:type="dcterms:W3CDTF">2026-10-12T20:45:17Z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